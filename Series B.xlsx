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polyu-my.sharepoint.com/personal/21040974r_connect_polyu_hk/Documents/Publications/Sensor/Fig/"/>
    </mc:Choice>
  </mc:AlternateContent>
  <xr:revisionPtr revIDLastSave="1" documentId="8_{58A0EB7C-8EDF-45E4-8940-90B5D850394F}" xr6:coauthVersionLast="47" xr6:coauthVersionMax="47" xr10:uidLastSave="{DB1AE754-6F3B-417B-BD6B-2CA68B85AA82}"/>
  <bookViews>
    <workbookView xWindow="-120" yWindow="-120" windowWidth="29040" windowHeight="15990" activeTab="1" xr2:uid="{776CED43-EF88-421D-83BC-DE5B4D199884}"/>
  </bookViews>
  <sheets>
    <sheet name="Sheet1" sheetId="1" r:id="rId1"/>
    <sheet name="Sheet2" sheetId="12" r:id="rId2"/>
    <sheet name="100 loading" sheetId="2" r:id="rId3"/>
    <sheet name="100 unloading" sheetId="3" r:id="rId4"/>
    <sheet name="100both" sheetId="4" r:id="rId5"/>
    <sheet name="60 loading" sheetId="5" r:id="rId6"/>
    <sheet name="60 unloading" sheetId="6" r:id="rId7"/>
    <sheet name="60 both" sheetId="7" r:id="rId8"/>
    <sheet name="200 loading" sheetId="8" r:id="rId9"/>
    <sheet name="200 unloading" sheetId="9" r:id="rId10"/>
    <sheet name="200 both" sheetId="10" r:id="rId11"/>
    <sheet name="Sheet11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0" l="1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C21" i="11"/>
  <c r="D21" i="11"/>
  <c r="F21" i="11"/>
  <c r="G21" i="11"/>
  <c r="H21" i="11"/>
  <c r="J21" i="11"/>
  <c r="K21" i="11"/>
  <c r="L21" i="11"/>
  <c r="B21" i="11"/>
  <c r="R49" i="10"/>
  <c r="P49" i="10"/>
  <c r="P48" i="10"/>
  <c r="D45" i="10"/>
  <c r="D41" i="10"/>
  <c r="R35" i="10"/>
  <c r="R50" i="10" s="1"/>
  <c r="P35" i="10"/>
  <c r="P50" i="10" s="1"/>
  <c r="M35" i="10"/>
  <c r="M50" i="10" s="1"/>
  <c r="F35" i="10"/>
  <c r="F50" i="10" s="1"/>
  <c r="D35" i="10"/>
  <c r="D50" i="10" s="1"/>
  <c r="R34" i="10"/>
  <c r="P34" i="10"/>
  <c r="F34" i="10"/>
  <c r="F49" i="10" s="1"/>
  <c r="D34" i="10"/>
  <c r="D49" i="10" s="1"/>
  <c r="R33" i="10"/>
  <c r="R48" i="10" s="1"/>
  <c r="P33" i="10"/>
  <c r="F33" i="10"/>
  <c r="F48" i="10" s="1"/>
  <c r="D33" i="10"/>
  <c r="D48" i="10" s="1"/>
  <c r="R32" i="10"/>
  <c r="R47" i="10" s="1"/>
  <c r="P32" i="10"/>
  <c r="P47" i="10" s="1"/>
  <c r="F32" i="10"/>
  <c r="F47" i="10" s="1"/>
  <c r="D32" i="10"/>
  <c r="D47" i="10" s="1"/>
  <c r="R31" i="10"/>
  <c r="R46" i="10" s="1"/>
  <c r="P31" i="10"/>
  <c r="P46" i="10" s="1"/>
  <c r="M31" i="10"/>
  <c r="M46" i="10" s="1"/>
  <c r="F31" i="10"/>
  <c r="F46" i="10" s="1"/>
  <c r="D31" i="10"/>
  <c r="D46" i="10" s="1"/>
  <c r="R30" i="10"/>
  <c r="R45" i="10" s="1"/>
  <c r="P30" i="10"/>
  <c r="P45" i="10" s="1"/>
  <c r="M30" i="10"/>
  <c r="M45" i="10" s="1"/>
  <c r="F30" i="10"/>
  <c r="F45" i="10" s="1"/>
  <c r="D30" i="10"/>
  <c r="R29" i="10"/>
  <c r="R44" i="10" s="1"/>
  <c r="P29" i="10"/>
  <c r="P44" i="10" s="1"/>
  <c r="M29" i="10"/>
  <c r="M44" i="10" s="1"/>
  <c r="F29" i="10"/>
  <c r="F44" i="10" s="1"/>
  <c r="D29" i="10"/>
  <c r="D44" i="10" s="1"/>
  <c r="R28" i="10"/>
  <c r="R43" i="10" s="1"/>
  <c r="P28" i="10"/>
  <c r="P43" i="10" s="1"/>
  <c r="F28" i="10"/>
  <c r="F43" i="10" s="1"/>
  <c r="D28" i="10"/>
  <c r="D43" i="10" s="1"/>
  <c r="R27" i="10"/>
  <c r="R42" i="10" s="1"/>
  <c r="P27" i="10"/>
  <c r="P42" i="10" s="1"/>
  <c r="F27" i="10"/>
  <c r="F42" i="10" s="1"/>
  <c r="D27" i="10"/>
  <c r="D42" i="10" s="1"/>
  <c r="R26" i="10"/>
  <c r="R41" i="10" s="1"/>
  <c r="P26" i="10"/>
  <c r="P41" i="10" s="1"/>
  <c r="F26" i="10"/>
  <c r="F41" i="10" s="1"/>
  <c r="D26" i="10"/>
  <c r="R25" i="10"/>
  <c r="R40" i="10" s="1"/>
  <c r="P25" i="10"/>
  <c r="P40" i="10" s="1"/>
  <c r="M25" i="10"/>
  <c r="M40" i="10" s="1"/>
  <c r="F25" i="10"/>
  <c r="F40" i="10" s="1"/>
  <c r="D25" i="10"/>
  <c r="D40" i="10" s="1"/>
  <c r="R24" i="10"/>
  <c r="R39" i="10" s="1"/>
  <c r="P24" i="10"/>
  <c r="P39" i="10" s="1"/>
  <c r="M24" i="10"/>
  <c r="M39" i="10" s="1"/>
  <c r="F24" i="10"/>
  <c r="F39" i="10" s="1"/>
  <c r="D24" i="10"/>
  <c r="D39" i="10" s="1"/>
  <c r="R23" i="10"/>
  <c r="R38" i="10" s="1"/>
  <c r="P23" i="10"/>
  <c r="P38" i="10" s="1"/>
  <c r="M23" i="10"/>
  <c r="M38" i="10" s="1"/>
  <c r="F23" i="10"/>
  <c r="F38" i="10" s="1"/>
  <c r="D23" i="10"/>
  <c r="D38" i="10" s="1"/>
  <c r="R22" i="10"/>
  <c r="R37" i="10" s="1"/>
  <c r="P22" i="10"/>
  <c r="P37" i="10" s="1"/>
  <c r="F22" i="10"/>
  <c r="F37" i="10" s="1"/>
  <c r="D22" i="10"/>
  <c r="D37" i="10" s="1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S18" i="10"/>
  <c r="R18" i="10"/>
  <c r="Q18" i="10"/>
  <c r="P18" i="10"/>
  <c r="O18" i="10"/>
  <c r="N18" i="10"/>
  <c r="N35" i="10" s="1"/>
  <c r="N50" i="10" s="1"/>
  <c r="M18" i="10"/>
  <c r="M33" i="10" s="1"/>
  <c r="M48" i="10" s="1"/>
  <c r="L18" i="10"/>
  <c r="L35" i="10" s="1"/>
  <c r="L50" i="10" s="1"/>
  <c r="K18" i="10"/>
  <c r="J18" i="10"/>
  <c r="J35" i="10" s="1"/>
  <c r="J50" i="10" s="1"/>
  <c r="I18" i="10"/>
  <c r="H18" i="10"/>
  <c r="H35" i="10" s="1"/>
  <c r="H50" i="10" s="1"/>
  <c r="G18" i="10"/>
  <c r="F18" i="10"/>
  <c r="E18" i="10"/>
  <c r="D18" i="10"/>
  <c r="C18" i="10"/>
  <c r="B18" i="10"/>
  <c r="B35" i="10" s="1"/>
  <c r="B50" i="10" s="1"/>
  <c r="K50" i="9"/>
  <c r="P35" i="9"/>
  <c r="P50" i="9" s="1"/>
  <c r="K35" i="9"/>
  <c r="J35" i="9"/>
  <c r="J50" i="9" s="1"/>
  <c r="E35" i="9"/>
  <c r="E50" i="9" s="1"/>
  <c r="B35" i="9"/>
  <c r="B50" i="9" s="1"/>
  <c r="P34" i="9"/>
  <c r="P49" i="9" s="1"/>
  <c r="K34" i="9"/>
  <c r="K49" i="9" s="1"/>
  <c r="J34" i="9"/>
  <c r="J49" i="9" s="1"/>
  <c r="E34" i="9"/>
  <c r="E49" i="9" s="1"/>
  <c r="B34" i="9"/>
  <c r="B49" i="9" s="1"/>
  <c r="P33" i="9"/>
  <c r="P48" i="9" s="1"/>
  <c r="K33" i="9"/>
  <c r="K48" i="9" s="1"/>
  <c r="J33" i="9"/>
  <c r="J48" i="9" s="1"/>
  <c r="E33" i="9"/>
  <c r="E48" i="9" s="1"/>
  <c r="B33" i="9"/>
  <c r="B48" i="9" s="1"/>
  <c r="P32" i="9"/>
  <c r="P47" i="9" s="1"/>
  <c r="K32" i="9"/>
  <c r="K47" i="9" s="1"/>
  <c r="J32" i="9"/>
  <c r="J47" i="9" s="1"/>
  <c r="E32" i="9"/>
  <c r="E47" i="9" s="1"/>
  <c r="B32" i="9"/>
  <c r="B47" i="9" s="1"/>
  <c r="P31" i="9"/>
  <c r="P46" i="9" s="1"/>
  <c r="K31" i="9"/>
  <c r="K46" i="9" s="1"/>
  <c r="J31" i="9"/>
  <c r="J46" i="9" s="1"/>
  <c r="E31" i="9"/>
  <c r="E46" i="9" s="1"/>
  <c r="B31" i="9"/>
  <c r="B46" i="9" s="1"/>
  <c r="P30" i="9"/>
  <c r="P45" i="9" s="1"/>
  <c r="K30" i="9"/>
  <c r="K45" i="9" s="1"/>
  <c r="J30" i="9"/>
  <c r="J45" i="9" s="1"/>
  <c r="E30" i="9"/>
  <c r="E45" i="9" s="1"/>
  <c r="B30" i="9"/>
  <c r="B45" i="9" s="1"/>
  <c r="P29" i="9"/>
  <c r="P44" i="9" s="1"/>
  <c r="K29" i="9"/>
  <c r="K44" i="9" s="1"/>
  <c r="J29" i="9"/>
  <c r="J44" i="9" s="1"/>
  <c r="E29" i="9"/>
  <c r="E44" i="9" s="1"/>
  <c r="B29" i="9"/>
  <c r="B44" i="9" s="1"/>
  <c r="P28" i="9"/>
  <c r="P43" i="9" s="1"/>
  <c r="K28" i="9"/>
  <c r="K43" i="9" s="1"/>
  <c r="J28" i="9"/>
  <c r="J43" i="9" s="1"/>
  <c r="E28" i="9"/>
  <c r="E43" i="9" s="1"/>
  <c r="B28" i="9"/>
  <c r="B43" i="9" s="1"/>
  <c r="P27" i="9"/>
  <c r="P42" i="9" s="1"/>
  <c r="K27" i="9"/>
  <c r="K42" i="9" s="1"/>
  <c r="J27" i="9"/>
  <c r="J42" i="9" s="1"/>
  <c r="E27" i="9"/>
  <c r="E42" i="9" s="1"/>
  <c r="B27" i="9"/>
  <c r="B42" i="9" s="1"/>
  <c r="P26" i="9"/>
  <c r="P41" i="9" s="1"/>
  <c r="K26" i="9"/>
  <c r="K41" i="9" s="1"/>
  <c r="J26" i="9"/>
  <c r="J41" i="9" s="1"/>
  <c r="E26" i="9"/>
  <c r="E41" i="9" s="1"/>
  <c r="B26" i="9"/>
  <c r="B41" i="9" s="1"/>
  <c r="P25" i="9"/>
  <c r="P40" i="9" s="1"/>
  <c r="K25" i="9"/>
  <c r="K40" i="9" s="1"/>
  <c r="J25" i="9"/>
  <c r="J40" i="9" s="1"/>
  <c r="E25" i="9"/>
  <c r="E40" i="9" s="1"/>
  <c r="B25" i="9"/>
  <c r="B40" i="9" s="1"/>
  <c r="P24" i="9"/>
  <c r="P39" i="9" s="1"/>
  <c r="K24" i="9"/>
  <c r="K39" i="9" s="1"/>
  <c r="J24" i="9"/>
  <c r="J39" i="9" s="1"/>
  <c r="E24" i="9"/>
  <c r="E39" i="9" s="1"/>
  <c r="B24" i="9"/>
  <c r="B39" i="9" s="1"/>
  <c r="P23" i="9"/>
  <c r="P38" i="9" s="1"/>
  <c r="K23" i="9"/>
  <c r="K38" i="9" s="1"/>
  <c r="J23" i="9"/>
  <c r="J38" i="9" s="1"/>
  <c r="E23" i="9"/>
  <c r="E38" i="9" s="1"/>
  <c r="B23" i="9"/>
  <c r="B38" i="9" s="1"/>
  <c r="P22" i="9"/>
  <c r="P37" i="9" s="1"/>
  <c r="K22" i="9"/>
  <c r="K37" i="9" s="1"/>
  <c r="J22" i="9"/>
  <c r="J37" i="9" s="1"/>
  <c r="E22" i="9"/>
  <c r="E37" i="9" s="1"/>
  <c r="B22" i="9"/>
  <c r="B37" i="9" s="1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S18" i="9"/>
  <c r="R18" i="9"/>
  <c r="R35" i="9" s="1"/>
  <c r="R50" i="9" s="1"/>
  <c r="Q18" i="9"/>
  <c r="Q35" i="9" s="1"/>
  <c r="Q50" i="9" s="1"/>
  <c r="P18" i="9"/>
  <c r="O18" i="9"/>
  <c r="N18" i="9"/>
  <c r="N35" i="9" s="1"/>
  <c r="N50" i="9" s="1"/>
  <c r="M18" i="9"/>
  <c r="L18" i="9"/>
  <c r="L35" i="9" s="1"/>
  <c r="L50" i="9" s="1"/>
  <c r="K18" i="9"/>
  <c r="J18" i="9"/>
  <c r="I18" i="9"/>
  <c r="H18" i="9"/>
  <c r="H35" i="9" s="1"/>
  <c r="H50" i="9" s="1"/>
  <c r="G18" i="9"/>
  <c r="F18" i="9"/>
  <c r="F35" i="9" s="1"/>
  <c r="F50" i="9" s="1"/>
  <c r="E18" i="9"/>
  <c r="D18" i="9"/>
  <c r="D35" i="9" s="1"/>
  <c r="D50" i="9" s="1"/>
  <c r="C18" i="9"/>
  <c r="B18" i="9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B20" i="8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4" i="5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B16" i="3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B48" i="8"/>
  <c r="B49" i="8"/>
  <c r="B50" i="8"/>
  <c r="B37" i="8"/>
  <c r="C22" i="8"/>
  <c r="D22" i="8"/>
  <c r="E22" i="8"/>
  <c r="F22" i="8"/>
  <c r="G22" i="8"/>
  <c r="G37" i="8" s="1"/>
  <c r="H22" i="8"/>
  <c r="H37" i="8" s="1"/>
  <c r="I22" i="8"/>
  <c r="J22" i="8"/>
  <c r="K22" i="8"/>
  <c r="L22" i="8"/>
  <c r="M22" i="8"/>
  <c r="M37" i="8" s="1"/>
  <c r="N22" i="8"/>
  <c r="N37" i="8" s="1"/>
  <c r="O22" i="8"/>
  <c r="P22" i="8"/>
  <c r="Q22" i="8"/>
  <c r="R22" i="8"/>
  <c r="S22" i="8"/>
  <c r="S37" i="8" s="1"/>
  <c r="C23" i="8"/>
  <c r="C38" i="8" s="1"/>
  <c r="D23" i="8"/>
  <c r="E23" i="8"/>
  <c r="F23" i="8"/>
  <c r="G23" i="8"/>
  <c r="H23" i="8"/>
  <c r="H38" i="8" s="1"/>
  <c r="I23" i="8"/>
  <c r="I38" i="8" s="1"/>
  <c r="J23" i="8"/>
  <c r="K23" i="8"/>
  <c r="L23" i="8"/>
  <c r="M23" i="8"/>
  <c r="N23" i="8"/>
  <c r="N38" i="8" s="1"/>
  <c r="O23" i="8"/>
  <c r="O38" i="8" s="1"/>
  <c r="P23" i="8"/>
  <c r="Q23" i="8"/>
  <c r="R23" i="8"/>
  <c r="S23" i="8"/>
  <c r="C24" i="8"/>
  <c r="C39" i="8" s="1"/>
  <c r="D24" i="8"/>
  <c r="D39" i="8" s="1"/>
  <c r="E24" i="8"/>
  <c r="F24" i="8"/>
  <c r="G24" i="8"/>
  <c r="H24" i="8"/>
  <c r="I24" i="8"/>
  <c r="I39" i="8" s="1"/>
  <c r="J24" i="8"/>
  <c r="J39" i="8" s="1"/>
  <c r="K24" i="8"/>
  <c r="L24" i="8"/>
  <c r="M24" i="8"/>
  <c r="N24" i="8"/>
  <c r="O24" i="8"/>
  <c r="O39" i="8" s="1"/>
  <c r="P24" i="8"/>
  <c r="P39" i="8" s="1"/>
  <c r="Q24" i="8"/>
  <c r="R24" i="8"/>
  <c r="S24" i="8"/>
  <c r="C25" i="8"/>
  <c r="D25" i="8"/>
  <c r="D40" i="8" s="1"/>
  <c r="E25" i="8"/>
  <c r="E40" i="8" s="1"/>
  <c r="F25" i="8"/>
  <c r="G25" i="8"/>
  <c r="H25" i="8"/>
  <c r="I25" i="8"/>
  <c r="J25" i="8"/>
  <c r="J40" i="8" s="1"/>
  <c r="K25" i="8"/>
  <c r="K40" i="8" s="1"/>
  <c r="L25" i="8"/>
  <c r="M25" i="8"/>
  <c r="N25" i="8"/>
  <c r="O25" i="8"/>
  <c r="P25" i="8"/>
  <c r="P40" i="8" s="1"/>
  <c r="Q25" i="8"/>
  <c r="Q40" i="8" s="1"/>
  <c r="R25" i="8"/>
  <c r="S25" i="8"/>
  <c r="C26" i="8"/>
  <c r="D26" i="8"/>
  <c r="E26" i="8"/>
  <c r="E41" i="8" s="1"/>
  <c r="F26" i="8"/>
  <c r="F41" i="8" s="1"/>
  <c r="G26" i="8"/>
  <c r="H26" i="8"/>
  <c r="I26" i="8"/>
  <c r="J26" i="8"/>
  <c r="K26" i="8"/>
  <c r="K41" i="8" s="1"/>
  <c r="L26" i="8"/>
  <c r="L41" i="8" s="1"/>
  <c r="M26" i="8"/>
  <c r="N26" i="8"/>
  <c r="O26" i="8"/>
  <c r="P26" i="8"/>
  <c r="Q26" i="8"/>
  <c r="Q41" i="8" s="1"/>
  <c r="R26" i="8"/>
  <c r="R41" i="8" s="1"/>
  <c r="S26" i="8"/>
  <c r="C27" i="8"/>
  <c r="D27" i="8"/>
  <c r="E27" i="8"/>
  <c r="F27" i="8"/>
  <c r="F42" i="8" s="1"/>
  <c r="G27" i="8"/>
  <c r="G42" i="8" s="1"/>
  <c r="H27" i="8"/>
  <c r="I27" i="8"/>
  <c r="J27" i="8"/>
  <c r="K27" i="8"/>
  <c r="L27" i="8"/>
  <c r="L42" i="8" s="1"/>
  <c r="M27" i="8"/>
  <c r="M42" i="8" s="1"/>
  <c r="N27" i="8"/>
  <c r="O27" i="8"/>
  <c r="P27" i="8"/>
  <c r="Q27" i="8"/>
  <c r="R27" i="8"/>
  <c r="R42" i="8" s="1"/>
  <c r="S27" i="8"/>
  <c r="S42" i="8" s="1"/>
  <c r="C28" i="8"/>
  <c r="D28" i="8"/>
  <c r="E28" i="8"/>
  <c r="F28" i="8"/>
  <c r="G28" i="8"/>
  <c r="G43" i="8" s="1"/>
  <c r="H28" i="8"/>
  <c r="H43" i="8" s="1"/>
  <c r="I28" i="8"/>
  <c r="J28" i="8"/>
  <c r="J43" i="8" s="1"/>
  <c r="K28" i="8"/>
  <c r="L28" i="8"/>
  <c r="M28" i="8"/>
  <c r="M43" i="8" s="1"/>
  <c r="N28" i="8"/>
  <c r="N43" i="8" s="1"/>
  <c r="O28" i="8"/>
  <c r="P28" i="8"/>
  <c r="P43" i="8" s="1"/>
  <c r="Q28" i="8"/>
  <c r="R28" i="8"/>
  <c r="S28" i="8"/>
  <c r="S43" i="8" s="1"/>
  <c r="C29" i="8"/>
  <c r="C44" i="8" s="1"/>
  <c r="D29" i="8"/>
  <c r="E29" i="8"/>
  <c r="E44" i="8" s="1"/>
  <c r="F29" i="8"/>
  <c r="G29" i="8"/>
  <c r="H29" i="8"/>
  <c r="H44" i="8" s="1"/>
  <c r="I29" i="8"/>
  <c r="I44" i="8" s="1"/>
  <c r="J29" i="8"/>
  <c r="K29" i="8"/>
  <c r="K44" i="8" s="1"/>
  <c r="L29" i="8"/>
  <c r="M29" i="8"/>
  <c r="N29" i="8"/>
  <c r="N44" i="8" s="1"/>
  <c r="O29" i="8"/>
  <c r="O44" i="8" s="1"/>
  <c r="P29" i="8"/>
  <c r="Q29" i="8"/>
  <c r="Q44" i="8" s="1"/>
  <c r="R29" i="8"/>
  <c r="S29" i="8"/>
  <c r="C30" i="8"/>
  <c r="C45" i="8" s="1"/>
  <c r="D30" i="8"/>
  <c r="D45" i="8" s="1"/>
  <c r="E30" i="8"/>
  <c r="F30" i="8"/>
  <c r="F45" i="8" s="1"/>
  <c r="G30" i="8"/>
  <c r="H30" i="8"/>
  <c r="I30" i="8"/>
  <c r="I45" i="8" s="1"/>
  <c r="J30" i="8"/>
  <c r="J45" i="8" s="1"/>
  <c r="K30" i="8"/>
  <c r="L30" i="8"/>
  <c r="L45" i="8" s="1"/>
  <c r="M30" i="8"/>
  <c r="N30" i="8"/>
  <c r="O30" i="8"/>
  <c r="O45" i="8" s="1"/>
  <c r="P30" i="8"/>
  <c r="P45" i="8" s="1"/>
  <c r="Q30" i="8"/>
  <c r="R30" i="8"/>
  <c r="R45" i="8" s="1"/>
  <c r="S30" i="8"/>
  <c r="C31" i="8"/>
  <c r="D31" i="8"/>
  <c r="D46" i="8" s="1"/>
  <c r="E31" i="8"/>
  <c r="E46" i="8" s="1"/>
  <c r="F31" i="8"/>
  <c r="G31" i="8"/>
  <c r="G46" i="8" s="1"/>
  <c r="H31" i="8"/>
  <c r="I31" i="8"/>
  <c r="J31" i="8"/>
  <c r="J46" i="8" s="1"/>
  <c r="K31" i="8"/>
  <c r="K46" i="8" s="1"/>
  <c r="L31" i="8"/>
  <c r="M31" i="8"/>
  <c r="M46" i="8" s="1"/>
  <c r="N31" i="8"/>
  <c r="O31" i="8"/>
  <c r="P31" i="8"/>
  <c r="P46" i="8" s="1"/>
  <c r="Q31" i="8"/>
  <c r="Q46" i="8" s="1"/>
  <c r="R31" i="8"/>
  <c r="S31" i="8"/>
  <c r="S46" i="8" s="1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B33" i="8"/>
  <c r="B34" i="8"/>
  <c r="B35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B19" i="8"/>
  <c r="B18" i="8"/>
  <c r="R46" i="8"/>
  <c r="O46" i="8"/>
  <c r="N46" i="8"/>
  <c r="L46" i="8"/>
  <c r="I46" i="8"/>
  <c r="H46" i="8"/>
  <c r="F46" i="8"/>
  <c r="C46" i="8"/>
  <c r="S45" i="8"/>
  <c r="Q45" i="8"/>
  <c r="N45" i="8"/>
  <c r="M45" i="8"/>
  <c r="K45" i="8"/>
  <c r="H45" i="8"/>
  <c r="G45" i="8"/>
  <c r="E45" i="8"/>
  <c r="S44" i="8"/>
  <c r="R44" i="8"/>
  <c r="P44" i="8"/>
  <c r="M44" i="8"/>
  <c r="L44" i="8"/>
  <c r="J44" i="8"/>
  <c r="G44" i="8"/>
  <c r="F44" i="8"/>
  <c r="D44" i="8"/>
  <c r="R43" i="8"/>
  <c r="Q43" i="8"/>
  <c r="O43" i="8"/>
  <c r="L43" i="8"/>
  <c r="K43" i="8"/>
  <c r="I43" i="8"/>
  <c r="F43" i="8"/>
  <c r="E43" i="8"/>
  <c r="D43" i="8"/>
  <c r="C43" i="8"/>
  <c r="Q42" i="8"/>
  <c r="P42" i="8"/>
  <c r="O42" i="8"/>
  <c r="N42" i="8"/>
  <c r="K42" i="8"/>
  <c r="J42" i="8"/>
  <c r="I42" i="8"/>
  <c r="H42" i="8"/>
  <c r="E42" i="8"/>
  <c r="D42" i="8"/>
  <c r="C42" i="8"/>
  <c r="S41" i="8"/>
  <c r="P41" i="8"/>
  <c r="O41" i="8"/>
  <c r="N41" i="8"/>
  <c r="M41" i="8"/>
  <c r="J41" i="8"/>
  <c r="I41" i="8"/>
  <c r="H41" i="8"/>
  <c r="G41" i="8"/>
  <c r="D41" i="8"/>
  <c r="C41" i="8"/>
  <c r="S40" i="8"/>
  <c r="R40" i="8"/>
  <c r="O40" i="8"/>
  <c r="N40" i="8"/>
  <c r="M40" i="8"/>
  <c r="L40" i="8"/>
  <c r="I40" i="8"/>
  <c r="H40" i="8"/>
  <c r="G40" i="8"/>
  <c r="F40" i="8"/>
  <c r="C40" i="8"/>
  <c r="S39" i="8"/>
  <c r="R39" i="8"/>
  <c r="Q39" i="8"/>
  <c r="N39" i="8"/>
  <c r="M39" i="8"/>
  <c r="L39" i="8"/>
  <c r="K39" i="8"/>
  <c r="H39" i="8"/>
  <c r="G39" i="8"/>
  <c r="F39" i="8"/>
  <c r="E39" i="8"/>
  <c r="S38" i="8"/>
  <c r="R38" i="8"/>
  <c r="Q38" i="8"/>
  <c r="P38" i="8"/>
  <c r="M38" i="8"/>
  <c r="L38" i="8"/>
  <c r="K38" i="8"/>
  <c r="J38" i="8"/>
  <c r="G38" i="8"/>
  <c r="F38" i="8"/>
  <c r="E38" i="8"/>
  <c r="D38" i="8"/>
  <c r="R37" i="8"/>
  <c r="Q37" i="8"/>
  <c r="P37" i="8"/>
  <c r="O37" i="8"/>
  <c r="L37" i="8"/>
  <c r="K37" i="8"/>
  <c r="J37" i="8"/>
  <c r="I37" i="8"/>
  <c r="F37" i="8"/>
  <c r="E37" i="8"/>
  <c r="D37" i="8"/>
  <c r="C37" i="8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S12" i="7"/>
  <c r="S24" i="7" s="1"/>
  <c r="S34" i="7" s="1"/>
  <c r="R12" i="7"/>
  <c r="R24" i="7" s="1"/>
  <c r="R34" i="7" s="1"/>
  <c r="Q12" i="7"/>
  <c r="Q24" i="7" s="1"/>
  <c r="Q34" i="7" s="1"/>
  <c r="P12" i="7"/>
  <c r="P24" i="7" s="1"/>
  <c r="P34" i="7" s="1"/>
  <c r="O12" i="7"/>
  <c r="O24" i="7" s="1"/>
  <c r="O34" i="7" s="1"/>
  <c r="N12" i="7"/>
  <c r="N22" i="7" s="1"/>
  <c r="N32" i="7" s="1"/>
  <c r="M12" i="7"/>
  <c r="M24" i="7" s="1"/>
  <c r="M34" i="7" s="1"/>
  <c r="L12" i="7"/>
  <c r="L24" i="7" s="1"/>
  <c r="L34" i="7" s="1"/>
  <c r="K12" i="7"/>
  <c r="K24" i="7" s="1"/>
  <c r="K34" i="7" s="1"/>
  <c r="J12" i="7"/>
  <c r="J24" i="7" s="1"/>
  <c r="J34" i="7" s="1"/>
  <c r="I12" i="7"/>
  <c r="I24" i="7" s="1"/>
  <c r="I34" i="7" s="1"/>
  <c r="H12" i="7"/>
  <c r="H24" i="7" s="1"/>
  <c r="H34" i="7" s="1"/>
  <c r="G12" i="7"/>
  <c r="G24" i="7" s="1"/>
  <c r="G34" i="7" s="1"/>
  <c r="F12" i="7"/>
  <c r="F24" i="7" s="1"/>
  <c r="F34" i="7" s="1"/>
  <c r="E12" i="7"/>
  <c r="E24" i="7" s="1"/>
  <c r="E34" i="7" s="1"/>
  <c r="D12" i="7"/>
  <c r="D24" i="7" s="1"/>
  <c r="D34" i="7" s="1"/>
  <c r="C12" i="7"/>
  <c r="C24" i="7" s="1"/>
  <c r="C34" i="7" s="1"/>
  <c r="B12" i="7"/>
  <c r="B24" i="7" s="1"/>
  <c r="B34" i="7" s="1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S12" i="6"/>
  <c r="S24" i="6" s="1"/>
  <c r="S34" i="6" s="1"/>
  <c r="R12" i="6"/>
  <c r="R24" i="6" s="1"/>
  <c r="R34" i="6" s="1"/>
  <c r="Q12" i="6"/>
  <c r="Q24" i="6" s="1"/>
  <c r="Q34" i="6" s="1"/>
  <c r="P12" i="6"/>
  <c r="P24" i="6" s="1"/>
  <c r="P34" i="6" s="1"/>
  <c r="O12" i="6"/>
  <c r="O24" i="6" s="1"/>
  <c r="O34" i="6" s="1"/>
  <c r="N12" i="6"/>
  <c r="N22" i="6" s="1"/>
  <c r="N32" i="6" s="1"/>
  <c r="M12" i="6"/>
  <c r="M24" i="6" s="1"/>
  <c r="M34" i="6" s="1"/>
  <c r="L12" i="6"/>
  <c r="L24" i="6" s="1"/>
  <c r="L34" i="6" s="1"/>
  <c r="K12" i="6"/>
  <c r="K24" i="6" s="1"/>
  <c r="K34" i="6" s="1"/>
  <c r="J12" i="6"/>
  <c r="J24" i="6" s="1"/>
  <c r="J34" i="6" s="1"/>
  <c r="I12" i="6"/>
  <c r="I24" i="6" s="1"/>
  <c r="I34" i="6" s="1"/>
  <c r="H12" i="6"/>
  <c r="H16" i="6" s="1"/>
  <c r="H26" i="6" s="1"/>
  <c r="G12" i="6"/>
  <c r="G24" i="6" s="1"/>
  <c r="G34" i="6" s="1"/>
  <c r="F12" i="6"/>
  <c r="F24" i="6" s="1"/>
  <c r="F34" i="6" s="1"/>
  <c r="E12" i="6"/>
  <c r="E24" i="6" s="1"/>
  <c r="E34" i="6" s="1"/>
  <c r="D12" i="6"/>
  <c r="D24" i="6" s="1"/>
  <c r="D34" i="6" s="1"/>
  <c r="C12" i="6"/>
  <c r="C24" i="6" s="1"/>
  <c r="C34" i="6" s="1"/>
  <c r="B12" i="6"/>
  <c r="B22" i="6" s="1"/>
  <c r="B32" i="6" s="1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B13" i="5"/>
  <c r="B12" i="5"/>
  <c r="O20" i="4"/>
  <c r="O32" i="4" s="1"/>
  <c r="O18" i="4"/>
  <c r="O30" i="4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S28" i="4" s="1"/>
  <c r="S40" i="4" s="1"/>
  <c r="R14" i="4"/>
  <c r="R28" i="4" s="1"/>
  <c r="R40" i="4" s="1"/>
  <c r="Q14" i="4"/>
  <c r="Q28" i="4" s="1"/>
  <c r="Q40" i="4" s="1"/>
  <c r="P14" i="4"/>
  <c r="P28" i="4" s="1"/>
  <c r="P40" i="4" s="1"/>
  <c r="O14" i="4"/>
  <c r="O27" i="4" s="1"/>
  <c r="O39" i="4" s="1"/>
  <c r="N14" i="4"/>
  <c r="N28" i="4" s="1"/>
  <c r="N40" i="4" s="1"/>
  <c r="M14" i="4"/>
  <c r="M28" i="4" s="1"/>
  <c r="M40" i="4" s="1"/>
  <c r="L14" i="4"/>
  <c r="L28" i="4" s="1"/>
  <c r="L40" i="4" s="1"/>
  <c r="K14" i="4"/>
  <c r="K28" i="4" s="1"/>
  <c r="K40" i="4" s="1"/>
  <c r="J14" i="4"/>
  <c r="J28" i="4" s="1"/>
  <c r="J40" i="4" s="1"/>
  <c r="I14" i="4"/>
  <c r="I28" i="4" s="1"/>
  <c r="I40" i="4" s="1"/>
  <c r="H14" i="4"/>
  <c r="H28" i="4" s="1"/>
  <c r="H40" i="4" s="1"/>
  <c r="G14" i="4"/>
  <c r="G28" i="4" s="1"/>
  <c r="G40" i="4" s="1"/>
  <c r="F14" i="4"/>
  <c r="F28" i="4" s="1"/>
  <c r="F40" i="4" s="1"/>
  <c r="E14" i="4"/>
  <c r="E28" i="4" s="1"/>
  <c r="E40" i="4" s="1"/>
  <c r="D14" i="4"/>
  <c r="D28" i="4" s="1"/>
  <c r="D40" i="4" s="1"/>
  <c r="C14" i="4"/>
  <c r="C28" i="4" s="1"/>
  <c r="C40" i="4" s="1"/>
  <c r="B14" i="4"/>
  <c r="B28" i="4" s="1"/>
  <c r="B40" i="4" s="1"/>
  <c r="O27" i="3"/>
  <c r="O39" i="3" s="1"/>
  <c r="O26" i="3"/>
  <c r="O38" i="3" s="1"/>
  <c r="O25" i="3"/>
  <c r="O37" i="3" s="1"/>
  <c r="O24" i="3"/>
  <c r="O36" i="3" s="1"/>
  <c r="O23" i="3"/>
  <c r="O35" i="3" s="1"/>
  <c r="O22" i="3"/>
  <c r="O34" i="3" s="1"/>
  <c r="O21" i="3"/>
  <c r="O33" i="3" s="1"/>
  <c r="O20" i="3"/>
  <c r="O32" i="3" s="1"/>
  <c r="O19" i="3"/>
  <c r="O31" i="3" s="1"/>
  <c r="O18" i="3"/>
  <c r="O30" i="3" s="1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S28" i="3" s="1"/>
  <c r="S40" i="3" s="1"/>
  <c r="R14" i="3"/>
  <c r="R28" i="3" s="1"/>
  <c r="R40" i="3" s="1"/>
  <c r="Q14" i="3"/>
  <c r="Q28" i="3" s="1"/>
  <c r="Q40" i="3" s="1"/>
  <c r="P14" i="3"/>
  <c r="P28" i="3" s="1"/>
  <c r="P40" i="3" s="1"/>
  <c r="O14" i="3"/>
  <c r="O28" i="3" s="1"/>
  <c r="O40" i="3" s="1"/>
  <c r="N14" i="3"/>
  <c r="N28" i="3" s="1"/>
  <c r="N40" i="3" s="1"/>
  <c r="M14" i="3"/>
  <c r="M28" i="3" s="1"/>
  <c r="M40" i="3" s="1"/>
  <c r="L14" i="3"/>
  <c r="L28" i="3" s="1"/>
  <c r="L40" i="3" s="1"/>
  <c r="K14" i="3"/>
  <c r="K28" i="3" s="1"/>
  <c r="K40" i="3" s="1"/>
  <c r="J14" i="3"/>
  <c r="J28" i="3" s="1"/>
  <c r="J40" i="3" s="1"/>
  <c r="I14" i="3"/>
  <c r="I26" i="3" s="1"/>
  <c r="I38" i="3" s="1"/>
  <c r="H14" i="3"/>
  <c r="H28" i="3" s="1"/>
  <c r="H40" i="3" s="1"/>
  <c r="G14" i="3"/>
  <c r="G28" i="3" s="1"/>
  <c r="G40" i="3" s="1"/>
  <c r="F14" i="3"/>
  <c r="F28" i="3" s="1"/>
  <c r="F40" i="3" s="1"/>
  <c r="E14" i="3"/>
  <c r="E28" i="3" s="1"/>
  <c r="E40" i="3" s="1"/>
  <c r="D14" i="3"/>
  <c r="D28" i="3" s="1"/>
  <c r="D40" i="3" s="1"/>
  <c r="C14" i="3"/>
  <c r="C28" i="3" s="1"/>
  <c r="C40" i="3" s="1"/>
  <c r="B14" i="3"/>
  <c r="B28" i="3" s="1"/>
  <c r="B40" i="3" s="1"/>
  <c r="Q18" i="2"/>
  <c r="Q30" i="2" s="1"/>
  <c r="F19" i="2"/>
  <c r="F31" i="2" s="1"/>
  <c r="L19" i="2"/>
  <c r="L31" i="2" s="1"/>
  <c r="R19" i="2"/>
  <c r="R31" i="2" s="1"/>
  <c r="G20" i="2"/>
  <c r="G32" i="2" s="1"/>
  <c r="M20" i="2"/>
  <c r="M32" i="2" s="1"/>
  <c r="S20" i="2"/>
  <c r="S32" i="2" s="1"/>
  <c r="H21" i="2"/>
  <c r="H33" i="2" s="1"/>
  <c r="N21" i="2"/>
  <c r="N33" i="2" s="1"/>
  <c r="C22" i="2"/>
  <c r="C34" i="2" s="1"/>
  <c r="I22" i="2"/>
  <c r="I34" i="2" s="1"/>
  <c r="O22" i="2"/>
  <c r="O34" i="2" s="1"/>
  <c r="D23" i="2"/>
  <c r="D35" i="2" s="1"/>
  <c r="J23" i="2"/>
  <c r="J35" i="2" s="1"/>
  <c r="F25" i="2"/>
  <c r="F37" i="2" s="1"/>
  <c r="L25" i="2"/>
  <c r="L37" i="2" s="1"/>
  <c r="R25" i="2"/>
  <c r="R37" i="2" s="1"/>
  <c r="G26" i="2"/>
  <c r="G38" i="2" s="1"/>
  <c r="M26" i="2"/>
  <c r="M38" i="2" s="1"/>
  <c r="S26" i="2"/>
  <c r="S38" i="2" s="1"/>
  <c r="H27" i="2"/>
  <c r="H39" i="2" s="1"/>
  <c r="N27" i="2"/>
  <c r="N39" i="2" s="1"/>
  <c r="C28" i="2"/>
  <c r="C40" i="2" s="1"/>
  <c r="I28" i="2"/>
  <c r="I40" i="2" s="1"/>
  <c r="O28" i="2"/>
  <c r="O40" i="2" s="1"/>
  <c r="B20" i="2"/>
  <c r="B32" i="2" s="1"/>
  <c r="B26" i="2"/>
  <c r="B38" i="2" s="1"/>
  <c r="C15" i="2"/>
  <c r="C21" i="2" s="1"/>
  <c r="C33" i="2" s="1"/>
  <c r="D15" i="2"/>
  <c r="E15" i="2"/>
  <c r="E18" i="2" s="1"/>
  <c r="E30" i="2" s="1"/>
  <c r="F15" i="2"/>
  <c r="G15" i="2"/>
  <c r="H15" i="2"/>
  <c r="I15" i="2"/>
  <c r="I21" i="2" s="1"/>
  <c r="I33" i="2" s="1"/>
  <c r="J15" i="2"/>
  <c r="K15" i="2"/>
  <c r="K24" i="2" s="1"/>
  <c r="K36" i="2" s="1"/>
  <c r="L15" i="2"/>
  <c r="M15" i="2"/>
  <c r="N15" i="2"/>
  <c r="O15" i="2"/>
  <c r="O21" i="2" s="1"/>
  <c r="O33" i="2" s="1"/>
  <c r="P15" i="2"/>
  <c r="Q15" i="2"/>
  <c r="Q24" i="2" s="1"/>
  <c r="Q36" i="2" s="1"/>
  <c r="R15" i="2"/>
  <c r="S15" i="2"/>
  <c r="B15" i="2"/>
  <c r="S14" i="2"/>
  <c r="S19" i="2" s="1"/>
  <c r="S31" i="2" s="1"/>
  <c r="C14" i="2"/>
  <c r="C23" i="2" s="1"/>
  <c r="C35" i="2" s="1"/>
  <c r="D14" i="2"/>
  <c r="E14" i="2"/>
  <c r="F14" i="2"/>
  <c r="F18" i="2" s="1"/>
  <c r="F30" i="2" s="1"/>
  <c r="G14" i="2"/>
  <c r="G19" i="2" s="1"/>
  <c r="G31" i="2" s="1"/>
  <c r="H14" i="2"/>
  <c r="H20" i="2" s="1"/>
  <c r="H32" i="2" s="1"/>
  <c r="I14" i="2"/>
  <c r="I23" i="2" s="1"/>
  <c r="I35" i="2" s="1"/>
  <c r="J14" i="2"/>
  <c r="K14" i="2"/>
  <c r="L14" i="2"/>
  <c r="L18" i="2" s="1"/>
  <c r="L30" i="2" s="1"/>
  <c r="M14" i="2"/>
  <c r="M19" i="2" s="1"/>
  <c r="M31" i="2" s="1"/>
  <c r="N14" i="2"/>
  <c r="N20" i="2" s="1"/>
  <c r="N32" i="2" s="1"/>
  <c r="O14" i="2"/>
  <c r="O23" i="2" s="1"/>
  <c r="O35" i="2" s="1"/>
  <c r="P14" i="2"/>
  <c r="Q14" i="2"/>
  <c r="R14" i="2"/>
  <c r="R18" i="2" s="1"/>
  <c r="R30" i="2" s="1"/>
  <c r="B14" i="2"/>
  <c r="B21" i="2" s="1"/>
  <c r="B33" i="2" s="1"/>
  <c r="B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A10" i="7"/>
  <c r="A3" i="7"/>
  <c r="A4" i="7"/>
  <c r="A5" i="7"/>
  <c r="A6" i="7"/>
  <c r="A7" i="7"/>
  <c r="A8" i="7"/>
  <c r="A9" i="7"/>
  <c r="A2" i="7"/>
  <c r="B2" i="10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2" i="10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A3" i="4"/>
  <c r="A4" i="4"/>
  <c r="A5" i="4"/>
  <c r="A6" i="4"/>
  <c r="A7" i="4"/>
  <c r="A8" i="4"/>
  <c r="A9" i="4"/>
  <c r="A10" i="4"/>
  <c r="A11" i="4"/>
  <c r="A12" i="4"/>
  <c r="A2" i="4"/>
  <c r="M26" i="10" l="1"/>
  <c r="M41" i="10" s="1"/>
  <c r="M32" i="10"/>
  <c r="M47" i="10" s="1"/>
  <c r="M22" i="10"/>
  <c r="M37" i="10" s="1"/>
  <c r="M28" i="10"/>
  <c r="M43" i="10" s="1"/>
  <c r="M34" i="10"/>
  <c r="M49" i="10" s="1"/>
  <c r="G35" i="10"/>
  <c r="G50" i="10" s="1"/>
  <c r="G34" i="10"/>
  <c r="G49" i="10" s="1"/>
  <c r="G33" i="10"/>
  <c r="G48" i="10" s="1"/>
  <c r="G32" i="10"/>
  <c r="G47" i="10" s="1"/>
  <c r="G31" i="10"/>
  <c r="G46" i="10" s="1"/>
  <c r="G30" i="10"/>
  <c r="G45" i="10" s="1"/>
  <c r="G29" i="10"/>
  <c r="G44" i="10" s="1"/>
  <c r="G28" i="10"/>
  <c r="G43" i="10" s="1"/>
  <c r="G27" i="10"/>
  <c r="G42" i="10" s="1"/>
  <c r="G26" i="10"/>
  <c r="G41" i="10" s="1"/>
  <c r="G25" i="10"/>
  <c r="G40" i="10" s="1"/>
  <c r="G24" i="10"/>
  <c r="G39" i="10" s="1"/>
  <c r="G23" i="10"/>
  <c r="G38" i="10" s="1"/>
  <c r="G22" i="10"/>
  <c r="G37" i="10" s="1"/>
  <c r="S35" i="10"/>
  <c r="S50" i="10" s="1"/>
  <c r="S34" i="10"/>
  <c r="S49" i="10" s="1"/>
  <c r="S33" i="10"/>
  <c r="S48" i="10" s="1"/>
  <c r="S32" i="10"/>
  <c r="S47" i="10" s="1"/>
  <c r="S31" i="10"/>
  <c r="S46" i="10" s="1"/>
  <c r="S30" i="10"/>
  <c r="S45" i="10" s="1"/>
  <c r="S29" i="10"/>
  <c r="S44" i="10" s="1"/>
  <c r="S28" i="10"/>
  <c r="S43" i="10" s="1"/>
  <c r="S27" i="10"/>
  <c r="S42" i="10" s="1"/>
  <c r="S26" i="10"/>
  <c r="S41" i="10" s="1"/>
  <c r="S25" i="10"/>
  <c r="S40" i="10" s="1"/>
  <c r="S24" i="10"/>
  <c r="S39" i="10" s="1"/>
  <c r="S23" i="10"/>
  <c r="S38" i="10" s="1"/>
  <c r="S22" i="10"/>
  <c r="S37" i="10" s="1"/>
  <c r="M27" i="10"/>
  <c r="M42" i="10" s="1"/>
  <c r="B22" i="10"/>
  <c r="B37" i="10" s="1"/>
  <c r="L22" i="10"/>
  <c r="L37" i="10" s="1"/>
  <c r="B23" i="10"/>
  <c r="B38" i="10" s="1"/>
  <c r="L23" i="10"/>
  <c r="L38" i="10" s="1"/>
  <c r="B24" i="10"/>
  <c r="B39" i="10" s="1"/>
  <c r="L24" i="10"/>
  <c r="L39" i="10" s="1"/>
  <c r="B25" i="10"/>
  <c r="B40" i="10" s="1"/>
  <c r="L25" i="10"/>
  <c r="L40" i="10" s="1"/>
  <c r="B26" i="10"/>
  <c r="B41" i="10" s="1"/>
  <c r="L26" i="10"/>
  <c r="L41" i="10" s="1"/>
  <c r="B27" i="10"/>
  <c r="B42" i="10" s="1"/>
  <c r="L27" i="10"/>
  <c r="L42" i="10" s="1"/>
  <c r="B28" i="10"/>
  <c r="B43" i="10" s="1"/>
  <c r="L28" i="10"/>
  <c r="L43" i="10" s="1"/>
  <c r="B29" i="10"/>
  <c r="B44" i="10" s="1"/>
  <c r="L29" i="10"/>
  <c r="L44" i="10" s="1"/>
  <c r="B30" i="10"/>
  <c r="B45" i="10" s="1"/>
  <c r="L30" i="10"/>
  <c r="L45" i="10" s="1"/>
  <c r="B31" i="10"/>
  <c r="B46" i="10" s="1"/>
  <c r="L31" i="10"/>
  <c r="L46" i="10" s="1"/>
  <c r="B32" i="10"/>
  <c r="B47" i="10" s="1"/>
  <c r="L32" i="10"/>
  <c r="L47" i="10" s="1"/>
  <c r="B33" i="10"/>
  <c r="B48" i="10" s="1"/>
  <c r="L33" i="10"/>
  <c r="L48" i="10" s="1"/>
  <c r="B34" i="10"/>
  <c r="B49" i="10" s="1"/>
  <c r="L34" i="10"/>
  <c r="L49" i="10" s="1"/>
  <c r="C35" i="10"/>
  <c r="C50" i="10" s="1"/>
  <c r="C34" i="10"/>
  <c r="C49" i="10" s="1"/>
  <c r="C33" i="10"/>
  <c r="C48" i="10" s="1"/>
  <c r="C32" i="10"/>
  <c r="C47" i="10" s="1"/>
  <c r="C31" i="10"/>
  <c r="C46" i="10" s="1"/>
  <c r="C30" i="10"/>
  <c r="C45" i="10" s="1"/>
  <c r="C29" i="10"/>
  <c r="C44" i="10" s="1"/>
  <c r="C28" i="10"/>
  <c r="C43" i="10" s="1"/>
  <c r="C27" i="10"/>
  <c r="C42" i="10" s="1"/>
  <c r="C26" i="10"/>
  <c r="C41" i="10" s="1"/>
  <c r="C25" i="10"/>
  <c r="C40" i="10" s="1"/>
  <c r="C24" i="10"/>
  <c r="C39" i="10" s="1"/>
  <c r="C23" i="10"/>
  <c r="C38" i="10" s="1"/>
  <c r="C22" i="10"/>
  <c r="C37" i="10" s="1"/>
  <c r="N22" i="10"/>
  <c r="N37" i="10" s="1"/>
  <c r="N23" i="10"/>
  <c r="N38" i="10" s="1"/>
  <c r="N30" i="10"/>
  <c r="N45" i="10" s="1"/>
  <c r="N31" i="10"/>
  <c r="N46" i="10" s="1"/>
  <c r="N32" i="10"/>
  <c r="N47" i="10" s="1"/>
  <c r="I35" i="10"/>
  <c r="I50" i="10" s="1"/>
  <c r="I34" i="10"/>
  <c r="I49" i="10" s="1"/>
  <c r="I33" i="10"/>
  <c r="I48" i="10" s="1"/>
  <c r="I32" i="10"/>
  <c r="I47" i="10" s="1"/>
  <c r="I31" i="10"/>
  <c r="I46" i="10" s="1"/>
  <c r="I30" i="10"/>
  <c r="I45" i="10" s="1"/>
  <c r="I29" i="10"/>
  <c r="I44" i="10" s="1"/>
  <c r="I28" i="10"/>
  <c r="I43" i="10" s="1"/>
  <c r="I27" i="10"/>
  <c r="I42" i="10" s="1"/>
  <c r="I26" i="10"/>
  <c r="I41" i="10" s="1"/>
  <c r="I25" i="10"/>
  <c r="I40" i="10" s="1"/>
  <c r="I24" i="10"/>
  <c r="I39" i="10" s="1"/>
  <c r="I23" i="10"/>
  <c r="I38" i="10" s="1"/>
  <c r="I22" i="10"/>
  <c r="I37" i="10" s="1"/>
  <c r="H22" i="10"/>
  <c r="H37" i="10" s="1"/>
  <c r="H23" i="10"/>
  <c r="H38" i="10" s="1"/>
  <c r="H24" i="10"/>
  <c r="H39" i="10" s="1"/>
  <c r="H25" i="10"/>
  <c r="H40" i="10" s="1"/>
  <c r="H26" i="10"/>
  <c r="H41" i="10" s="1"/>
  <c r="H27" i="10"/>
  <c r="H42" i="10" s="1"/>
  <c r="H28" i="10"/>
  <c r="H43" i="10" s="1"/>
  <c r="H29" i="10"/>
  <c r="H44" i="10" s="1"/>
  <c r="H30" i="10"/>
  <c r="H45" i="10" s="1"/>
  <c r="H31" i="10"/>
  <c r="H46" i="10" s="1"/>
  <c r="H32" i="10"/>
  <c r="H47" i="10" s="1"/>
  <c r="H33" i="10"/>
  <c r="H48" i="10" s="1"/>
  <c r="H34" i="10"/>
  <c r="H49" i="10" s="1"/>
  <c r="N24" i="10"/>
  <c r="N39" i="10" s="1"/>
  <c r="N25" i="10"/>
  <c r="N40" i="10" s="1"/>
  <c r="N26" i="10"/>
  <c r="N41" i="10" s="1"/>
  <c r="N27" i="10"/>
  <c r="N42" i="10" s="1"/>
  <c r="N28" i="10"/>
  <c r="N43" i="10" s="1"/>
  <c r="N29" i="10"/>
  <c r="N44" i="10" s="1"/>
  <c r="N33" i="10"/>
  <c r="N48" i="10" s="1"/>
  <c r="N34" i="10"/>
  <c r="N49" i="10" s="1"/>
  <c r="O35" i="10"/>
  <c r="O50" i="10" s="1"/>
  <c r="O34" i="10"/>
  <c r="O49" i="10" s="1"/>
  <c r="O33" i="10"/>
  <c r="O48" i="10" s="1"/>
  <c r="O32" i="10"/>
  <c r="O47" i="10" s="1"/>
  <c r="O31" i="10"/>
  <c r="O46" i="10" s="1"/>
  <c r="O30" i="10"/>
  <c r="O45" i="10" s="1"/>
  <c r="O29" i="10"/>
  <c r="O44" i="10" s="1"/>
  <c r="O28" i="10"/>
  <c r="O43" i="10" s="1"/>
  <c r="O27" i="10"/>
  <c r="O42" i="10" s="1"/>
  <c r="O26" i="10"/>
  <c r="O41" i="10" s="1"/>
  <c r="O25" i="10"/>
  <c r="O40" i="10" s="1"/>
  <c r="O24" i="10"/>
  <c r="O39" i="10" s="1"/>
  <c r="O23" i="10"/>
  <c r="O38" i="10" s="1"/>
  <c r="O22" i="10"/>
  <c r="O37" i="10" s="1"/>
  <c r="E35" i="10"/>
  <c r="E50" i="10" s="1"/>
  <c r="E34" i="10"/>
  <c r="E49" i="10" s="1"/>
  <c r="E33" i="10"/>
  <c r="E48" i="10" s="1"/>
  <c r="E32" i="10"/>
  <c r="E47" i="10" s="1"/>
  <c r="E31" i="10"/>
  <c r="E46" i="10" s="1"/>
  <c r="E30" i="10"/>
  <c r="E45" i="10" s="1"/>
  <c r="E29" i="10"/>
  <c r="E44" i="10" s="1"/>
  <c r="E28" i="10"/>
  <c r="E43" i="10" s="1"/>
  <c r="E27" i="10"/>
  <c r="E42" i="10" s="1"/>
  <c r="E26" i="10"/>
  <c r="E41" i="10" s="1"/>
  <c r="E25" i="10"/>
  <c r="E40" i="10" s="1"/>
  <c r="E24" i="10"/>
  <c r="E39" i="10" s="1"/>
  <c r="E23" i="10"/>
  <c r="E38" i="10" s="1"/>
  <c r="E22" i="10"/>
  <c r="E37" i="10" s="1"/>
  <c r="K35" i="10"/>
  <c r="K50" i="10" s="1"/>
  <c r="K34" i="10"/>
  <c r="K49" i="10" s="1"/>
  <c r="K33" i="10"/>
  <c r="K48" i="10" s="1"/>
  <c r="K32" i="10"/>
  <c r="K47" i="10" s="1"/>
  <c r="K31" i="10"/>
  <c r="K46" i="10" s="1"/>
  <c r="K30" i="10"/>
  <c r="K45" i="10" s="1"/>
  <c r="K29" i="10"/>
  <c r="K44" i="10" s="1"/>
  <c r="K28" i="10"/>
  <c r="K43" i="10" s="1"/>
  <c r="K27" i="10"/>
  <c r="K42" i="10" s="1"/>
  <c r="K26" i="10"/>
  <c r="K41" i="10" s="1"/>
  <c r="K25" i="10"/>
  <c r="K40" i="10" s="1"/>
  <c r="K24" i="10"/>
  <c r="K39" i="10" s="1"/>
  <c r="K23" i="10"/>
  <c r="K38" i="10" s="1"/>
  <c r="K22" i="10"/>
  <c r="K37" i="10" s="1"/>
  <c r="Q35" i="10"/>
  <c r="Q50" i="10" s="1"/>
  <c r="Q34" i="10"/>
  <c r="Q49" i="10" s="1"/>
  <c r="Q33" i="10"/>
  <c r="Q48" i="10" s="1"/>
  <c r="Q32" i="10"/>
  <c r="Q47" i="10" s="1"/>
  <c r="Q31" i="10"/>
  <c r="Q46" i="10" s="1"/>
  <c r="Q30" i="10"/>
  <c r="Q45" i="10" s="1"/>
  <c r="Q29" i="10"/>
  <c r="Q44" i="10" s="1"/>
  <c r="Q28" i="10"/>
  <c r="Q43" i="10" s="1"/>
  <c r="Q27" i="10"/>
  <c r="Q42" i="10" s="1"/>
  <c r="Q26" i="10"/>
  <c r="Q41" i="10" s="1"/>
  <c r="Q25" i="10"/>
  <c r="Q40" i="10" s="1"/>
  <c r="Q24" i="10"/>
  <c r="Q39" i="10" s="1"/>
  <c r="Q23" i="10"/>
  <c r="Q38" i="10" s="1"/>
  <c r="Q22" i="10"/>
  <c r="Q37" i="10" s="1"/>
  <c r="J22" i="10"/>
  <c r="J37" i="10" s="1"/>
  <c r="J23" i="10"/>
  <c r="J38" i="10" s="1"/>
  <c r="J24" i="10"/>
  <c r="J39" i="10" s="1"/>
  <c r="J25" i="10"/>
  <c r="J40" i="10" s="1"/>
  <c r="J26" i="10"/>
  <c r="J41" i="10" s="1"/>
  <c r="J27" i="10"/>
  <c r="J42" i="10" s="1"/>
  <c r="J28" i="10"/>
  <c r="J43" i="10" s="1"/>
  <c r="J29" i="10"/>
  <c r="J44" i="10" s="1"/>
  <c r="J30" i="10"/>
  <c r="J45" i="10" s="1"/>
  <c r="J31" i="10"/>
  <c r="J46" i="10" s="1"/>
  <c r="J32" i="10"/>
  <c r="J47" i="10" s="1"/>
  <c r="J33" i="10"/>
  <c r="J48" i="10" s="1"/>
  <c r="J34" i="10"/>
  <c r="J49" i="10" s="1"/>
  <c r="B20" i="9"/>
  <c r="E20" i="9"/>
  <c r="J20" i="9"/>
  <c r="K20" i="9"/>
  <c r="P20" i="9"/>
  <c r="R22" i="9"/>
  <c r="R37" i="9" s="1"/>
  <c r="R20" i="9" s="1"/>
  <c r="R23" i="9"/>
  <c r="R38" i="9" s="1"/>
  <c r="R24" i="9"/>
  <c r="R39" i="9" s="1"/>
  <c r="R25" i="9"/>
  <c r="R40" i="9" s="1"/>
  <c r="R26" i="9"/>
  <c r="R41" i="9" s="1"/>
  <c r="R27" i="9"/>
  <c r="R42" i="9" s="1"/>
  <c r="R28" i="9"/>
  <c r="R43" i="9" s="1"/>
  <c r="R29" i="9"/>
  <c r="R44" i="9" s="1"/>
  <c r="R30" i="9"/>
  <c r="R45" i="9" s="1"/>
  <c r="R31" i="9"/>
  <c r="R46" i="9" s="1"/>
  <c r="R32" i="9"/>
  <c r="R47" i="9" s="1"/>
  <c r="R33" i="9"/>
  <c r="R48" i="9" s="1"/>
  <c r="R34" i="9"/>
  <c r="R49" i="9" s="1"/>
  <c r="G35" i="9"/>
  <c r="G50" i="9" s="1"/>
  <c r="G34" i="9"/>
  <c r="G49" i="9" s="1"/>
  <c r="G33" i="9"/>
  <c r="G48" i="9" s="1"/>
  <c r="G32" i="9"/>
  <c r="G47" i="9" s="1"/>
  <c r="G31" i="9"/>
  <c r="G46" i="9" s="1"/>
  <c r="G30" i="9"/>
  <c r="G45" i="9" s="1"/>
  <c r="G29" i="9"/>
  <c r="G44" i="9" s="1"/>
  <c r="G28" i="9"/>
  <c r="G43" i="9" s="1"/>
  <c r="G27" i="9"/>
  <c r="G42" i="9" s="1"/>
  <c r="G26" i="9"/>
  <c r="G41" i="9" s="1"/>
  <c r="G25" i="9"/>
  <c r="G40" i="9" s="1"/>
  <c r="G24" i="9"/>
  <c r="G39" i="9" s="1"/>
  <c r="G23" i="9"/>
  <c r="G38" i="9" s="1"/>
  <c r="G22" i="9"/>
  <c r="G37" i="9" s="1"/>
  <c r="M35" i="9"/>
  <c r="M50" i="9" s="1"/>
  <c r="M34" i="9"/>
  <c r="M49" i="9" s="1"/>
  <c r="M33" i="9"/>
  <c r="M48" i="9" s="1"/>
  <c r="M32" i="9"/>
  <c r="M47" i="9" s="1"/>
  <c r="M31" i="9"/>
  <c r="M46" i="9" s="1"/>
  <c r="M30" i="9"/>
  <c r="M45" i="9" s="1"/>
  <c r="M29" i="9"/>
  <c r="M44" i="9" s="1"/>
  <c r="M28" i="9"/>
  <c r="M43" i="9" s="1"/>
  <c r="M27" i="9"/>
  <c r="M42" i="9" s="1"/>
  <c r="M26" i="9"/>
  <c r="M41" i="9" s="1"/>
  <c r="M25" i="9"/>
  <c r="M40" i="9" s="1"/>
  <c r="M24" i="9"/>
  <c r="M39" i="9" s="1"/>
  <c r="M23" i="9"/>
  <c r="M38" i="9" s="1"/>
  <c r="M22" i="9"/>
  <c r="M37" i="9" s="1"/>
  <c r="S35" i="9"/>
  <c r="S50" i="9" s="1"/>
  <c r="S34" i="9"/>
  <c r="S49" i="9" s="1"/>
  <c r="S33" i="9"/>
  <c r="S48" i="9" s="1"/>
  <c r="S32" i="9"/>
  <c r="S47" i="9" s="1"/>
  <c r="S31" i="9"/>
  <c r="S46" i="9" s="1"/>
  <c r="S30" i="9"/>
  <c r="S45" i="9" s="1"/>
  <c r="S29" i="9"/>
  <c r="S44" i="9" s="1"/>
  <c r="S28" i="9"/>
  <c r="S43" i="9" s="1"/>
  <c r="S27" i="9"/>
  <c r="S42" i="9" s="1"/>
  <c r="S26" i="9"/>
  <c r="S41" i="9" s="1"/>
  <c r="S25" i="9"/>
  <c r="S40" i="9" s="1"/>
  <c r="S24" i="9"/>
  <c r="S39" i="9" s="1"/>
  <c r="S23" i="9"/>
  <c r="S38" i="9" s="1"/>
  <c r="S22" i="9"/>
  <c r="S37" i="9" s="1"/>
  <c r="S20" i="9" s="1"/>
  <c r="D22" i="9"/>
  <c r="D37" i="9" s="1"/>
  <c r="L22" i="9"/>
  <c r="L37" i="9" s="1"/>
  <c r="D23" i="9"/>
  <c r="D38" i="9" s="1"/>
  <c r="L23" i="9"/>
  <c r="L38" i="9" s="1"/>
  <c r="D24" i="9"/>
  <c r="D39" i="9" s="1"/>
  <c r="L24" i="9"/>
  <c r="L39" i="9" s="1"/>
  <c r="D25" i="9"/>
  <c r="D40" i="9" s="1"/>
  <c r="L25" i="9"/>
  <c r="L40" i="9" s="1"/>
  <c r="D26" i="9"/>
  <c r="D41" i="9" s="1"/>
  <c r="L26" i="9"/>
  <c r="L41" i="9" s="1"/>
  <c r="D27" i="9"/>
  <c r="D42" i="9" s="1"/>
  <c r="L27" i="9"/>
  <c r="L42" i="9" s="1"/>
  <c r="D28" i="9"/>
  <c r="D43" i="9" s="1"/>
  <c r="L28" i="9"/>
  <c r="L43" i="9" s="1"/>
  <c r="D29" i="9"/>
  <c r="D44" i="9" s="1"/>
  <c r="L29" i="9"/>
  <c r="L44" i="9" s="1"/>
  <c r="D30" i="9"/>
  <c r="D45" i="9" s="1"/>
  <c r="L30" i="9"/>
  <c r="L45" i="9" s="1"/>
  <c r="D31" i="9"/>
  <c r="D46" i="9" s="1"/>
  <c r="L31" i="9"/>
  <c r="L46" i="9" s="1"/>
  <c r="D32" i="9"/>
  <c r="D47" i="9" s="1"/>
  <c r="L32" i="9"/>
  <c r="L47" i="9" s="1"/>
  <c r="D33" i="9"/>
  <c r="D48" i="9" s="1"/>
  <c r="L33" i="9"/>
  <c r="L48" i="9" s="1"/>
  <c r="D34" i="9"/>
  <c r="D49" i="9" s="1"/>
  <c r="L34" i="9"/>
  <c r="L49" i="9" s="1"/>
  <c r="N22" i="9"/>
  <c r="N37" i="9" s="1"/>
  <c r="N23" i="9"/>
  <c r="N38" i="9" s="1"/>
  <c r="N30" i="9"/>
  <c r="N45" i="9" s="1"/>
  <c r="N31" i="9"/>
  <c r="N46" i="9" s="1"/>
  <c r="N33" i="9"/>
  <c r="N48" i="9" s="1"/>
  <c r="C35" i="9"/>
  <c r="C50" i="9" s="1"/>
  <c r="C34" i="9"/>
  <c r="C49" i="9" s="1"/>
  <c r="C33" i="9"/>
  <c r="C48" i="9" s="1"/>
  <c r="C32" i="9"/>
  <c r="C47" i="9" s="1"/>
  <c r="C31" i="9"/>
  <c r="C46" i="9" s="1"/>
  <c r="C30" i="9"/>
  <c r="C45" i="9" s="1"/>
  <c r="C29" i="9"/>
  <c r="C44" i="9" s="1"/>
  <c r="C28" i="9"/>
  <c r="C43" i="9" s="1"/>
  <c r="C27" i="9"/>
  <c r="C42" i="9" s="1"/>
  <c r="C26" i="9"/>
  <c r="C41" i="9" s="1"/>
  <c r="C25" i="9"/>
  <c r="C40" i="9" s="1"/>
  <c r="C24" i="9"/>
  <c r="C39" i="9" s="1"/>
  <c r="C23" i="9"/>
  <c r="C38" i="9" s="1"/>
  <c r="C22" i="9"/>
  <c r="C37" i="9" s="1"/>
  <c r="I35" i="9"/>
  <c r="I50" i="9" s="1"/>
  <c r="I34" i="9"/>
  <c r="I49" i="9" s="1"/>
  <c r="I33" i="9"/>
  <c r="I48" i="9" s="1"/>
  <c r="I32" i="9"/>
  <c r="I47" i="9" s="1"/>
  <c r="I31" i="9"/>
  <c r="I46" i="9" s="1"/>
  <c r="I30" i="9"/>
  <c r="I45" i="9" s="1"/>
  <c r="I29" i="9"/>
  <c r="I44" i="9" s="1"/>
  <c r="I28" i="9"/>
  <c r="I43" i="9" s="1"/>
  <c r="I27" i="9"/>
  <c r="I42" i="9" s="1"/>
  <c r="I26" i="9"/>
  <c r="I41" i="9" s="1"/>
  <c r="I25" i="9"/>
  <c r="I40" i="9" s="1"/>
  <c r="I24" i="9"/>
  <c r="I39" i="9" s="1"/>
  <c r="I23" i="9"/>
  <c r="I38" i="9" s="1"/>
  <c r="I22" i="9"/>
  <c r="I37" i="9" s="1"/>
  <c r="O35" i="9"/>
  <c r="O50" i="9" s="1"/>
  <c r="O34" i="9"/>
  <c r="O49" i="9" s="1"/>
  <c r="O33" i="9"/>
  <c r="O48" i="9" s="1"/>
  <c r="O32" i="9"/>
  <c r="O47" i="9" s="1"/>
  <c r="O31" i="9"/>
  <c r="O46" i="9" s="1"/>
  <c r="O30" i="9"/>
  <c r="O45" i="9" s="1"/>
  <c r="O29" i="9"/>
  <c r="O44" i="9" s="1"/>
  <c r="O28" i="9"/>
  <c r="O43" i="9" s="1"/>
  <c r="O27" i="9"/>
  <c r="O42" i="9" s="1"/>
  <c r="O26" i="9"/>
  <c r="O41" i="9" s="1"/>
  <c r="O25" i="9"/>
  <c r="O40" i="9" s="1"/>
  <c r="O24" i="9"/>
  <c r="O39" i="9" s="1"/>
  <c r="O23" i="9"/>
  <c r="O38" i="9" s="1"/>
  <c r="O22" i="9"/>
  <c r="O37" i="9" s="1"/>
  <c r="F22" i="9"/>
  <c r="F37" i="9" s="1"/>
  <c r="F23" i="9"/>
  <c r="F38" i="9" s="1"/>
  <c r="F24" i="9"/>
  <c r="F39" i="9" s="1"/>
  <c r="F25" i="9"/>
  <c r="F40" i="9" s="1"/>
  <c r="F26" i="9"/>
  <c r="F41" i="9" s="1"/>
  <c r="F27" i="9"/>
  <c r="F42" i="9" s="1"/>
  <c r="F28" i="9"/>
  <c r="F43" i="9" s="1"/>
  <c r="F29" i="9"/>
  <c r="F44" i="9" s="1"/>
  <c r="F30" i="9"/>
  <c r="F45" i="9" s="1"/>
  <c r="F31" i="9"/>
  <c r="F46" i="9" s="1"/>
  <c r="F32" i="9"/>
  <c r="F47" i="9" s="1"/>
  <c r="F33" i="9"/>
  <c r="F48" i="9" s="1"/>
  <c r="F34" i="9"/>
  <c r="F49" i="9" s="1"/>
  <c r="N24" i="9"/>
  <c r="N39" i="9" s="1"/>
  <c r="N25" i="9"/>
  <c r="N40" i="9" s="1"/>
  <c r="N26" i="9"/>
  <c r="N41" i="9" s="1"/>
  <c r="N27" i="9"/>
  <c r="N42" i="9" s="1"/>
  <c r="N28" i="9"/>
  <c r="N43" i="9" s="1"/>
  <c r="N29" i="9"/>
  <c r="N44" i="9" s="1"/>
  <c r="N32" i="9"/>
  <c r="N47" i="9" s="1"/>
  <c r="N34" i="9"/>
  <c r="N49" i="9" s="1"/>
  <c r="H22" i="9"/>
  <c r="H37" i="9" s="1"/>
  <c r="Q22" i="9"/>
  <c r="Q37" i="9" s="1"/>
  <c r="H23" i="9"/>
  <c r="H38" i="9" s="1"/>
  <c r="Q23" i="9"/>
  <c r="Q38" i="9" s="1"/>
  <c r="H24" i="9"/>
  <c r="H39" i="9" s="1"/>
  <c r="Q24" i="9"/>
  <c r="Q39" i="9" s="1"/>
  <c r="H25" i="9"/>
  <c r="H40" i="9" s="1"/>
  <c r="Q25" i="9"/>
  <c r="Q40" i="9" s="1"/>
  <c r="H26" i="9"/>
  <c r="H41" i="9" s="1"/>
  <c r="Q26" i="9"/>
  <c r="Q41" i="9" s="1"/>
  <c r="H27" i="9"/>
  <c r="H42" i="9" s="1"/>
  <c r="Q27" i="9"/>
  <c r="Q42" i="9" s="1"/>
  <c r="H28" i="9"/>
  <c r="H43" i="9" s="1"/>
  <c r="Q28" i="9"/>
  <c r="Q43" i="9" s="1"/>
  <c r="H29" i="9"/>
  <c r="H44" i="9" s="1"/>
  <c r="Q29" i="9"/>
  <c r="Q44" i="9" s="1"/>
  <c r="H30" i="9"/>
  <c r="H45" i="9" s="1"/>
  <c r="Q30" i="9"/>
  <c r="Q45" i="9" s="1"/>
  <c r="H31" i="9"/>
  <c r="H46" i="9" s="1"/>
  <c r="Q31" i="9"/>
  <c r="Q46" i="9" s="1"/>
  <c r="H32" i="9"/>
  <c r="H47" i="9" s="1"/>
  <c r="Q32" i="9"/>
  <c r="Q47" i="9" s="1"/>
  <c r="H33" i="9"/>
  <c r="H48" i="9" s="1"/>
  <c r="Q33" i="9"/>
  <c r="Q48" i="9" s="1"/>
  <c r="H34" i="9"/>
  <c r="H49" i="9" s="1"/>
  <c r="Q34" i="9"/>
  <c r="Q49" i="9" s="1"/>
  <c r="B23" i="8"/>
  <c r="B38" i="8" s="1"/>
  <c r="B27" i="8"/>
  <c r="B42" i="8" s="1"/>
  <c r="B28" i="8"/>
  <c r="B43" i="8" s="1"/>
  <c r="B22" i="8"/>
  <c r="B32" i="8"/>
  <c r="B47" i="8" s="1"/>
  <c r="B26" i="8"/>
  <c r="B41" i="8" s="1"/>
  <c r="B31" i="8"/>
  <c r="B46" i="8" s="1"/>
  <c r="B25" i="8"/>
  <c r="B40" i="8" s="1"/>
  <c r="B30" i="8"/>
  <c r="B45" i="8" s="1"/>
  <c r="B24" i="8"/>
  <c r="B39" i="8" s="1"/>
  <c r="B29" i="8"/>
  <c r="B44" i="8" s="1"/>
  <c r="N16" i="7"/>
  <c r="N26" i="7" s="1"/>
  <c r="N18" i="7"/>
  <c r="N28" i="7" s="1"/>
  <c r="N20" i="7"/>
  <c r="N30" i="7" s="1"/>
  <c r="N24" i="7"/>
  <c r="N34" i="7" s="1"/>
  <c r="N23" i="7"/>
  <c r="N33" i="7" s="1"/>
  <c r="B17" i="7"/>
  <c r="B27" i="7" s="1"/>
  <c r="B19" i="7"/>
  <c r="B29" i="7" s="1"/>
  <c r="B21" i="7"/>
  <c r="B31" i="7" s="1"/>
  <c r="B23" i="7"/>
  <c r="B33" i="7" s="1"/>
  <c r="H17" i="7"/>
  <c r="H27" i="7" s="1"/>
  <c r="H19" i="7"/>
  <c r="H29" i="7" s="1"/>
  <c r="H21" i="7"/>
  <c r="H31" i="7" s="1"/>
  <c r="H23" i="7"/>
  <c r="H33" i="7" s="1"/>
  <c r="N17" i="7"/>
  <c r="N27" i="7" s="1"/>
  <c r="N19" i="7"/>
  <c r="N29" i="7" s="1"/>
  <c r="B16" i="7"/>
  <c r="B26" i="7" s="1"/>
  <c r="B18" i="7"/>
  <c r="B28" i="7" s="1"/>
  <c r="B20" i="7"/>
  <c r="B30" i="7" s="1"/>
  <c r="B22" i="7"/>
  <c r="B32" i="7" s="1"/>
  <c r="N21" i="7"/>
  <c r="N31" i="7" s="1"/>
  <c r="H16" i="7"/>
  <c r="H26" i="7" s="1"/>
  <c r="H18" i="7"/>
  <c r="H28" i="7" s="1"/>
  <c r="H20" i="7"/>
  <c r="H30" i="7" s="1"/>
  <c r="H22" i="7"/>
  <c r="H32" i="7" s="1"/>
  <c r="C16" i="7"/>
  <c r="C26" i="7" s="1"/>
  <c r="I16" i="7"/>
  <c r="I26" i="7" s="1"/>
  <c r="O16" i="7"/>
  <c r="O26" i="7" s="1"/>
  <c r="C17" i="7"/>
  <c r="C27" i="7" s="1"/>
  <c r="I17" i="7"/>
  <c r="I27" i="7" s="1"/>
  <c r="O17" i="7"/>
  <c r="O27" i="7" s="1"/>
  <c r="C18" i="7"/>
  <c r="C28" i="7" s="1"/>
  <c r="I18" i="7"/>
  <c r="I28" i="7" s="1"/>
  <c r="O18" i="7"/>
  <c r="O28" i="7" s="1"/>
  <c r="C19" i="7"/>
  <c r="C29" i="7" s="1"/>
  <c r="I19" i="7"/>
  <c r="I29" i="7" s="1"/>
  <c r="O19" i="7"/>
  <c r="O29" i="7" s="1"/>
  <c r="C20" i="7"/>
  <c r="C30" i="7" s="1"/>
  <c r="I20" i="7"/>
  <c r="I30" i="7" s="1"/>
  <c r="O20" i="7"/>
  <c r="O30" i="7" s="1"/>
  <c r="C21" i="7"/>
  <c r="C31" i="7" s="1"/>
  <c r="I21" i="7"/>
  <c r="I31" i="7" s="1"/>
  <c r="O21" i="7"/>
  <c r="O31" i="7" s="1"/>
  <c r="C22" i="7"/>
  <c r="C32" i="7" s="1"/>
  <c r="I22" i="7"/>
  <c r="I32" i="7" s="1"/>
  <c r="O22" i="7"/>
  <c r="O32" i="7" s="1"/>
  <c r="C23" i="7"/>
  <c r="C33" i="7" s="1"/>
  <c r="I23" i="7"/>
  <c r="I33" i="7" s="1"/>
  <c r="O23" i="7"/>
  <c r="O33" i="7" s="1"/>
  <c r="D16" i="7"/>
  <c r="D26" i="7" s="1"/>
  <c r="J16" i="7"/>
  <c r="J26" i="7" s="1"/>
  <c r="P16" i="7"/>
  <c r="P26" i="7" s="1"/>
  <c r="D17" i="7"/>
  <c r="D27" i="7" s="1"/>
  <c r="J17" i="7"/>
  <c r="J27" i="7" s="1"/>
  <c r="P17" i="7"/>
  <c r="P27" i="7" s="1"/>
  <c r="D18" i="7"/>
  <c r="D28" i="7" s="1"/>
  <c r="J18" i="7"/>
  <c r="J28" i="7" s="1"/>
  <c r="P18" i="7"/>
  <c r="P28" i="7" s="1"/>
  <c r="D19" i="7"/>
  <c r="D29" i="7" s="1"/>
  <c r="J19" i="7"/>
  <c r="J29" i="7" s="1"/>
  <c r="P19" i="7"/>
  <c r="P29" i="7" s="1"/>
  <c r="D20" i="7"/>
  <c r="D30" i="7" s="1"/>
  <c r="J20" i="7"/>
  <c r="J30" i="7" s="1"/>
  <c r="P20" i="7"/>
  <c r="P30" i="7" s="1"/>
  <c r="D21" i="7"/>
  <c r="D31" i="7" s="1"/>
  <c r="J21" i="7"/>
  <c r="J31" i="7" s="1"/>
  <c r="P21" i="7"/>
  <c r="P31" i="7" s="1"/>
  <c r="D22" i="7"/>
  <c r="D32" i="7" s="1"/>
  <c r="J22" i="7"/>
  <c r="J32" i="7" s="1"/>
  <c r="P22" i="7"/>
  <c r="P32" i="7" s="1"/>
  <c r="D23" i="7"/>
  <c r="D33" i="7" s="1"/>
  <c r="J23" i="7"/>
  <c r="J33" i="7" s="1"/>
  <c r="P23" i="7"/>
  <c r="P33" i="7" s="1"/>
  <c r="E16" i="7"/>
  <c r="E26" i="7" s="1"/>
  <c r="K16" i="7"/>
  <c r="K26" i="7" s="1"/>
  <c r="Q16" i="7"/>
  <c r="Q26" i="7" s="1"/>
  <c r="E17" i="7"/>
  <c r="E27" i="7" s="1"/>
  <c r="K17" i="7"/>
  <c r="K27" i="7" s="1"/>
  <c r="Q17" i="7"/>
  <c r="Q27" i="7" s="1"/>
  <c r="E18" i="7"/>
  <c r="E28" i="7" s="1"/>
  <c r="K18" i="7"/>
  <c r="K28" i="7" s="1"/>
  <c r="Q18" i="7"/>
  <c r="Q28" i="7" s="1"/>
  <c r="E19" i="7"/>
  <c r="E29" i="7" s="1"/>
  <c r="K19" i="7"/>
  <c r="K29" i="7" s="1"/>
  <c r="Q19" i="7"/>
  <c r="Q29" i="7" s="1"/>
  <c r="E20" i="7"/>
  <c r="E30" i="7" s="1"/>
  <c r="K20" i="7"/>
  <c r="K30" i="7" s="1"/>
  <c r="Q20" i="7"/>
  <c r="Q30" i="7" s="1"/>
  <c r="E21" i="7"/>
  <c r="E31" i="7" s="1"/>
  <c r="K21" i="7"/>
  <c r="K31" i="7" s="1"/>
  <c r="Q21" i="7"/>
  <c r="Q31" i="7" s="1"/>
  <c r="E22" i="7"/>
  <c r="E32" i="7" s="1"/>
  <c r="K22" i="7"/>
  <c r="K32" i="7" s="1"/>
  <c r="Q22" i="7"/>
  <c r="Q32" i="7" s="1"/>
  <c r="E23" i="7"/>
  <c r="E33" i="7" s="1"/>
  <c r="K23" i="7"/>
  <c r="K33" i="7" s="1"/>
  <c r="Q23" i="7"/>
  <c r="Q33" i="7" s="1"/>
  <c r="F16" i="7"/>
  <c r="F26" i="7" s="1"/>
  <c r="L16" i="7"/>
  <c r="L26" i="7" s="1"/>
  <c r="R16" i="7"/>
  <c r="R26" i="7" s="1"/>
  <c r="F17" i="7"/>
  <c r="F27" i="7" s="1"/>
  <c r="L17" i="7"/>
  <c r="L27" i="7" s="1"/>
  <c r="R17" i="7"/>
  <c r="R27" i="7" s="1"/>
  <c r="F18" i="7"/>
  <c r="F28" i="7" s="1"/>
  <c r="L18" i="7"/>
  <c r="L28" i="7" s="1"/>
  <c r="R18" i="7"/>
  <c r="R28" i="7" s="1"/>
  <c r="F19" i="7"/>
  <c r="F29" i="7" s="1"/>
  <c r="L19" i="7"/>
  <c r="L29" i="7" s="1"/>
  <c r="R19" i="7"/>
  <c r="R29" i="7" s="1"/>
  <c r="F20" i="7"/>
  <c r="F30" i="7" s="1"/>
  <c r="L20" i="7"/>
  <c r="L30" i="7" s="1"/>
  <c r="R20" i="7"/>
  <c r="R30" i="7" s="1"/>
  <c r="F21" i="7"/>
  <c r="F31" i="7" s="1"/>
  <c r="L21" i="7"/>
  <c r="L31" i="7" s="1"/>
  <c r="R21" i="7"/>
  <c r="R31" i="7" s="1"/>
  <c r="F22" i="7"/>
  <c r="F32" i="7" s="1"/>
  <c r="L22" i="7"/>
  <c r="L32" i="7" s="1"/>
  <c r="R22" i="7"/>
  <c r="R32" i="7" s="1"/>
  <c r="F23" i="7"/>
  <c r="F33" i="7" s="1"/>
  <c r="L23" i="7"/>
  <c r="L33" i="7" s="1"/>
  <c r="R23" i="7"/>
  <c r="R33" i="7" s="1"/>
  <c r="G16" i="7"/>
  <c r="G26" i="7" s="1"/>
  <c r="M16" i="7"/>
  <c r="M26" i="7" s="1"/>
  <c r="S16" i="7"/>
  <c r="S26" i="7" s="1"/>
  <c r="G17" i="7"/>
  <c r="G27" i="7" s="1"/>
  <c r="M17" i="7"/>
  <c r="M27" i="7" s="1"/>
  <c r="S17" i="7"/>
  <c r="S27" i="7" s="1"/>
  <c r="G18" i="7"/>
  <c r="G28" i="7" s="1"/>
  <c r="M18" i="7"/>
  <c r="M28" i="7" s="1"/>
  <c r="S18" i="7"/>
  <c r="S28" i="7" s="1"/>
  <c r="G19" i="7"/>
  <c r="G29" i="7" s="1"/>
  <c r="M19" i="7"/>
  <c r="M29" i="7" s="1"/>
  <c r="S19" i="7"/>
  <c r="S29" i="7" s="1"/>
  <c r="G20" i="7"/>
  <c r="G30" i="7" s="1"/>
  <c r="M20" i="7"/>
  <c r="M30" i="7" s="1"/>
  <c r="S20" i="7"/>
  <c r="S30" i="7" s="1"/>
  <c r="G21" i="7"/>
  <c r="G31" i="7" s="1"/>
  <c r="M21" i="7"/>
  <c r="M31" i="7" s="1"/>
  <c r="S21" i="7"/>
  <c r="S31" i="7" s="1"/>
  <c r="G22" i="7"/>
  <c r="G32" i="7" s="1"/>
  <c r="M22" i="7"/>
  <c r="M32" i="7" s="1"/>
  <c r="S22" i="7"/>
  <c r="S32" i="7" s="1"/>
  <c r="G23" i="7"/>
  <c r="G33" i="7" s="1"/>
  <c r="M23" i="7"/>
  <c r="M33" i="7" s="1"/>
  <c r="S23" i="7"/>
  <c r="S33" i="7" s="1"/>
  <c r="N16" i="6"/>
  <c r="N26" i="6" s="1"/>
  <c r="H17" i="6"/>
  <c r="H27" i="6" s="1"/>
  <c r="B18" i="6"/>
  <c r="B28" i="6" s="1"/>
  <c r="H18" i="6"/>
  <c r="H28" i="6" s="1"/>
  <c r="B19" i="6"/>
  <c r="B29" i="6" s="1"/>
  <c r="N19" i="6"/>
  <c r="N29" i="6" s="1"/>
  <c r="H20" i="6"/>
  <c r="H30" i="6" s="1"/>
  <c r="B21" i="6"/>
  <c r="B31" i="6" s="1"/>
  <c r="N21" i="6"/>
  <c r="N31" i="6" s="1"/>
  <c r="H22" i="6"/>
  <c r="H32" i="6" s="1"/>
  <c r="B23" i="6"/>
  <c r="B33" i="6" s="1"/>
  <c r="N23" i="6"/>
  <c r="N33" i="6" s="1"/>
  <c r="B24" i="6"/>
  <c r="B34" i="6" s="1"/>
  <c r="N24" i="6"/>
  <c r="N34" i="6" s="1"/>
  <c r="C16" i="6"/>
  <c r="C26" i="6" s="1"/>
  <c r="I16" i="6"/>
  <c r="I26" i="6" s="1"/>
  <c r="O16" i="6"/>
  <c r="O26" i="6" s="1"/>
  <c r="C17" i="6"/>
  <c r="C27" i="6" s="1"/>
  <c r="I17" i="6"/>
  <c r="I27" i="6" s="1"/>
  <c r="O17" i="6"/>
  <c r="O27" i="6" s="1"/>
  <c r="C18" i="6"/>
  <c r="C28" i="6" s="1"/>
  <c r="I18" i="6"/>
  <c r="I28" i="6" s="1"/>
  <c r="O18" i="6"/>
  <c r="O28" i="6" s="1"/>
  <c r="C19" i="6"/>
  <c r="C29" i="6" s="1"/>
  <c r="I19" i="6"/>
  <c r="I29" i="6" s="1"/>
  <c r="O19" i="6"/>
  <c r="O29" i="6" s="1"/>
  <c r="C20" i="6"/>
  <c r="C30" i="6" s="1"/>
  <c r="I20" i="6"/>
  <c r="I30" i="6" s="1"/>
  <c r="O20" i="6"/>
  <c r="O30" i="6" s="1"/>
  <c r="C21" i="6"/>
  <c r="C31" i="6" s="1"/>
  <c r="I21" i="6"/>
  <c r="I31" i="6" s="1"/>
  <c r="O21" i="6"/>
  <c r="O31" i="6" s="1"/>
  <c r="C22" i="6"/>
  <c r="C32" i="6" s="1"/>
  <c r="I22" i="6"/>
  <c r="I32" i="6" s="1"/>
  <c r="O22" i="6"/>
  <c r="O32" i="6" s="1"/>
  <c r="C23" i="6"/>
  <c r="C33" i="6" s="1"/>
  <c r="I23" i="6"/>
  <c r="I33" i="6" s="1"/>
  <c r="O23" i="6"/>
  <c r="O33" i="6" s="1"/>
  <c r="B16" i="6"/>
  <c r="B26" i="6" s="1"/>
  <c r="B17" i="6"/>
  <c r="B27" i="6" s="1"/>
  <c r="N17" i="6"/>
  <c r="N27" i="6" s="1"/>
  <c r="N18" i="6"/>
  <c r="N28" i="6" s="1"/>
  <c r="H19" i="6"/>
  <c r="H29" i="6" s="1"/>
  <c r="B20" i="6"/>
  <c r="B30" i="6" s="1"/>
  <c r="N20" i="6"/>
  <c r="N30" i="6" s="1"/>
  <c r="H21" i="6"/>
  <c r="H31" i="6" s="1"/>
  <c r="H23" i="6"/>
  <c r="H33" i="6" s="1"/>
  <c r="H24" i="6"/>
  <c r="H34" i="6" s="1"/>
  <c r="D16" i="6"/>
  <c r="D26" i="6" s="1"/>
  <c r="J16" i="6"/>
  <c r="J26" i="6" s="1"/>
  <c r="P16" i="6"/>
  <c r="P26" i="6" s="1"/>
  <c r="D17" i="6"/>
  <c r="D27" i="6" s="1"/>
  <c r="J17" i="6"/>
  <c r="J27" i="6" s="1"/>
  <c r="P17" i="6"/>
  <c r="P27" i="6" s="1"/>
  <c r="D18" i="6"/>
  <c r="D28" i="6" s="1"/>
  <c r="J18" i="6"/>
  <c r="J28" i="6" s="1"/>
  <c r="P18" i="6"/>
  <c r="P28" i="6" s="1"/>
  <c r="D19" i="6"/>
  <c r="D29" i="6" s="1"/>
  <c r="J19" i="6"/>
  <c r="J29" i="6" s="1"/>
  <c r="P19" i="6"/>
  <c r="P29" i="6" s="1"/>
  <c r="D20" i="6"/>
  <c r="D30" i="6" s="1"/>
  <c r="J20" i="6"/>
  <c r="J30" i="6" s="1"/>
  <c r="P20" i="6"/>
  <c r="P30" i="6" s="1"/>
  <c r="D21" i="6"/>
  <c r="D31" i="6" s="1"/>
  <c r="J21" i="6"/>
  <c r="J31" i="6" s="1"/>
  <c r="P21" i="6"/>
  <c r="P31" i="6" s="1"/>
  <c r="D22" i="6"/>
  <c r="D32" i="6" s="1"/>
  <c r="J22" i="6"/>
  <c r="J32" i="6" s="1"/>
  <c r="P22" i="6"/>
  <c r="P32" i="6" s="1"/>
  <c r="D23" i="6"/>
  <c r="D33" i="6" s="1"/>
  <c r="J23" i="6"/>
  <c r="J33" i="6" s="1"/>
  <c r="P23" i="6"/>
  <c r="P33" i="6" s="1"/>
  <c r="E16" i="6"/>
  <c r="E26" i="6" s="1"/>
  <c r="K16" i="6"/>
  <c r="K26" i="6" s="1"/>
  <c r="Q16" i="6"/>
  <c r="Q26" i="6" s="1"/>
  <c r="E17" i="6"/>
  <c r="E27" i="6" s="1"/>
  <c r="K17" i="6"/>
  <c r="K27" i="6" s="1"/>
  <c r="Q17" i="6"/>
  <c r="Q27" i="6" s="1"/>
  <c r="E18" i="6"/>
  <c r="E28" i="6" s="1"/>
  <c r="K18" i="6"/>
  <c r="K28" i="6" s="1"/>
  <c r="Q18" i="6"/>
  <c r="Q28" i="6" s="1"/>
  <c r="E19" i="6"/>
  <c r="E29" i="6" s="1"/>
  <c r="K19" i="6"/>
  <c r="K29" i="6" s="1"/>
  <c r="Q19" i="6"/>
  <c r="Q29" i="6" s="1"/>
  <c r="E20" i="6"/>
  <c r="E30" i="6" s="1"/>
  <c r="K20" i="6"/>
  <c r="K30" i="6" s="1"/>
  <c r="Q20" i="6"/>
  <c r="Q30" i="6" s="1"/>
  <c r="E21" i="6"/>
  <c r="E31" i="6" s="1"/>
  <c r="K21" i="6"/>
  <c r="K31" i="6" s="1"/>
  <c r="Q21" i="6"/>
  <c r="Q31" i="6" s="1"/>
  <c r="E22" i="6"/>
  <c r="E32" i="6" s="1"/>
  <c r="K22" i="6"/>
  <c r="K32" i="6" s="1"/>
  <c r="Q22" i="6"/>
  <c r="Q32" i="6" s="1"/>
  <c r="E23" i="6"/>
  <c r="E33" i="6" s="1"/>
  <c r="K23" i="6"/>
  <c r="K33" i="6" s="1"/>
  <c r="Q23" i="6"/>
  <c r="Q33" i="6" s="1"/>
  <c r="F16" i="6"/>
  <c r="F26" i="6" s="1"/>
  <c r="L16" i="6"/>
  <c r="L26" i="6" s="1"/>
  <c r="R16" i="6"/>
  <c r="R26" i="6" s="1"/>
  <c r="F17" i="6"/>
  <c r="F27" i="6" s="1"/>
  <c r="L17" i="6"/>
  <c r="L27" i="6" s="1"/>
  <c r="R17" i="6"/>
  <c r="R27" i="6" s="1"/>
  <c r="F18" i="6"/>
  <c r="F28" i="6" s="1"/>
  <c r="L18" i="6"/>
  <c r="L28" i="6" s="1"/>
  <c r="R18" i="6"/>
  <c r="R28" i="6" s="1"/>
  <c r="F19" i="6"/>
  <c r="F29" i="6" s="1"/>
  <c r="L19" i="6"/>
  <c r="L29" i="6" s="1"/>
  <c r="R19" i="6"/>
  <c r="R29" i="6" s="1"/>
  <c r="F20" i="6"/>
  <c r="F30" i="6" s="1"/>
  <c r="L20" i="6"/>
  <c r="L30" i="6" s="1"/>
  <c r="R20" i="6"/>
  <c r="R30" i="6" s="1"/>
  <c r="F21" i="6"/>
  <c r="F31" i="6" s="1"/>
  <c r="L21" i="6"/>
  <c r="L31" i="6" s="1"/>
  <c r="R21" i="6"/>
  <c r="R31" i="6" s="1"/>
  <c r="F22" i="6"/>
  <c r="F32" i="6" s="1"/>
  <c r="L22" i="6"/>
  <c r="L32" i="6" s="1"/>
  <c r="R22" i="6"/>
  <c r="R32" i="6" s="1"/>
  <c r="F23" i="6"/>
  <c r="F33" i="6" s="1"/>
  <c r="L23" i="6"/>
  <c r="L33" i="6" s="1"/>
  <c r="R23" i="6"/>
  <c r="R33" i="6" s="1"/>
  <c r="G16" i="6"/>
  <c r="G26" i="6" s="1"/>
  <c r="M16" i="6"/>
  <c r="M26" i="6" s="1"/>
  <c r="S16" i="6"/>
  <c r="S26" i="6" s="1"/>
  <c r="G17" i="6"/>
  <c r="G27" i="6" s="1"/>
  <c r="M17" i="6"/>
  <c r="M27" i="6" s="1"/>
  <c r="S17" i="6"/>
  <c r="S27" i="6" s="1"/>
  <c r="G18" i="6"/>
  <c r="G28" i="6" s="1"/>
  <c r="M18" i="6"/>
  <c r="M28" i="6" s="1"/>
  <c r="S18" i="6"/>
  <c r="S28" i="6" s="1"/>
  <c r="G19" i="6"/>
  <c r="G29" i="6" s="1"/>
  <c r="M19" i="6"/>
  <c r="M29" i="6" s="1"/>
  <c r="S19" i="6"/>
  <c r="S29" i="6" s="1"/>
  <c r="G20" i="6"/>
  <c r="G30" i="6" s="1"/>
  <c r="M20" i="6"/>
  <c r="M30" i="6" s="1"/>
  <c r="S20" i="6"/>
  <c r="S30" i="6" s="1"/>
  <c r="G21" i="6"/>
  <c r="G31" i="6" s="1"/>
  <c r="M21" i="6"/>
  <c r="M31" i="6" s="1"/>
  <c r="S21" i="6"/>
  <c r="S31" i="6" s="1"/>
  <c r="G22" i="6"/>
  <c r="G32" i="6" s="1"/>
  <c r="M22" i="6"/>
  <c r="M32" i="6" s="1"/>
  <c r="S22" i="6"/>
  <c r="S32" i="6" s="1"/>
  <c r="G23" i="6"/>
  <c r="G33" i="6" s="1"/>
  <c r="M23" i="6"/>
  <c r="M33" i="6" s="1"/>
  <c r="S23" i="6"/>
  <c r="S33" i="6" s="1"/>
  <c r="B24" i="5"/>
  <c r="B34" i="5" s="1"/>
  <c r="I21" i="5"/>
  <c r="I31" i="5" s="1"/>
  <c r="O19" i="5"/>
  <c r="O29" i="5" s="1"/>
  <c r="I19" i="5"/>
  <c r="I29" i="5" s="1"/>
  <c r="N20" i="5"/>
  <c r="N30" i="5" s="1"/>
  <c r="H24" i="5"/>
  <c r="H34" i="5" s="1"/>
  <c r="B20" i="5"/>
  <c r="B30" i="5" s="1"/>
  <c r="B22" i="5"/>
  <c r="B32" i="5" s="1"/>
  <c r="I17" i="5"/>
  <c r="I27" i="5" s="1"/>
  <c r="H18" i="5"/>
  <c r="H28" i="5" s="1"/>
  <c r="I18" i="5"/>
  <c r="I28" i="5" s="1"/>
  <c r="H16" i="5"/>
  <c r="H26" i="5" s="1"/>
  <c r="H19" i="5"/>
  <c r="H29" i="5" s="1"/>
  <c r="H22" i="5"/>
  <c r="H32" i="5" s="1"/>
  <c r="I16" i="5"/>
  <c r="I26" i="5" s="1"/>
  <c r="H17" i="5"/>
  <c r="H27" i="5" s="1"/>
  <c r="H20" i="5"/>
  <c r="H30" i="5" s="1"/>
  <c r="N16" i="5"/>
  <c r="N26" i="5" s="1"/>
  <c r="N17" i="5"/>
  <c r="N27" i="5" s="1"/>
  <c r="N18" i="5"/>
  <c r="N28" i="5" s="1"/>
  <c r="N19" i="5"/>
  <c r="N29" i="5" s="1"/>
  <c r="B21" i="5"/>
  <c r="B31" i="5" s="1"/>
  <c r="N22" i="5"/>
  <c r="N32" i="5" s="1"/>
  <c r="N24" i="5"/>
  <c r="N34" i="5" s="1"/>
  <c r="O16" i="5"/>
  <c r="O26" i="5" s="1"/>
  <c r="O17" i="5"/>
  <c r="O27" i="5" s="1"/>
  <c r="O18" i="5"/>
  <c r="O28" i="5" s="1"/>
  <c r="H21" i="5"/>
  <c r="H31" i="5" s="1"/>
  <c r="B23" i="5"/>
  <c r="B33" i="5" s="1"/>
  <c r="B16" i="5"/>
  <c r="B26" i="5" s="1"/>
  <c r="B17" i="5"/>
  <c r="B27" i="5" s="1"/>
  <c r="B18" i="5"/>
  <c r="B28" i="5" s="1"/>
  <c r="B19" i="5"/>
  <c r="B29" i="5" s="1"/>
  <c r="H23" i="5"/>
  <c r="H33" i="5" s="1"/>
  <c r="C24" i="5"/>
  <c r="C34" i="5" s="1"/>
  <c r="C22" i="5"/>
  <c r="C32" i="5" s="1"/>
  <c r="C23" i="5"/>
  <c r="C33" i="5" s="1"/>
  <c r="C21" i="5"/>
  <c r="C31" i="5" s="1"/>
  <c r="I22" i="5"/>
  <c r="I32" i="5" s="1"/>
  <c r="I20" i="5"/>
  <c r="I30" i="5" s="1"/>
  <c r="I23" i="5"/>
  <c r="I33" i="5" s="1"/>
  <c r="I24" i="5"/>
  <c r="I34" i="5" s="1"/>
  <c r="O21" i="5"/>
  <c r="O31" i="5" s="1"/>
  <c r="O22" i="5"/>
  <c r="O32" i="5" s="1"/>
  <c r="O20" i="5"/>
  <c r="O30" i="5" s="1"/>
  <c r="O24" i="5"/>
  <c r="O34" i="5" s="1"/>
  <c r="O23" i="5"/>
  <c r="O33" i="5" s="1"/>
  <c r="C16" i="5"/>
  <c r="C26" i="5" s="1"/>
  <c r="C17" i="5"/>
  <c r="C27" i="5" s="1"/>
  <c r="C18" i="5"/>
  <c r="C28" i="5" s="1"/>
  <c r="C19" i="5"/>
  <c r="C29" i="5" s="1"/>
  <c r="C20" i="5"/>
  <c r="C30" i="5" s="1"/>
  <c r="N21" i="5"/>
  <c r="N31" i="5" s="1"/>
  <c r="N23" i="5"/>
  <c r="N33" i="5" s="1"/>
  <c r="D16" i="5"/>
  <c r="D26" i="5" s="1"/>
  <c r="J16" i="5"/>
  <c r="J26" i="5" s="1"/>
  <c r="P16" i="5"/>
  <c r="P26" i="5" s="1"/>
  <c r="D17" i="5"/>
  <c r="D27" i="5" s="1"/>
  <c r="J17" i="5"/>
  <c r="J27" i="5" s="1"/>
  <c r="P17" i="5"/>
  <c r="P27" i="5" s="1"/>
  <c r="D18" i="5"/>
  <c r="D28" i="5" s="1"/>
  <c r="J18" i="5"/>
  <c r="J28" i="5" s="1"/>
  <c r="P18" i="5"/>
  <c r="P28" i="5" s="1"/>
  <c r="D19" i="5"/>
  <c r="D29" i="5" s="1"/>
  <c r="J19" i="5"/>
  <c r="J29" i="5" s="1"/>
  <c r="P19" i="5"/>
  <c r="P29" i="5" s="1"/>
  <c r="D20" i="5"/>
  <c r="D30" i="5" s="1"/>
  <c r="J20" i="5"/>
  <c r="J30" i="5" s="1"/>
  <c r="P20" i="5"/>
  <c r="P30" i="5" s="1"/>
  <c r="D21" i="5"/>
  <c r="D31" i="5" s="1"/>
  <c r="J21" i="5"/>
  <c r="J31" i="5" s="1"/>
  <c r="P21" i="5"/>
  <c r="P31" i="5" s="1"/>
  <c r="D22" i="5"/>
  <c r="D32" i="5" s="1"/>
  <c r="J22" i="5"/>
  <c r="J32" i="5" s="1"/>
  <c r="P22" i="5"/>
  <c r="P32" i="5" s="1"/>
  <c r="D23" i="5"/>
  <c r="D33" i="5" s="1"/>
  <c r="J23" i="5"/>
  <c r="J33" i="5" s="1"/>
  <c r="P23" i="5"/>
  <c r="P33" i="5" s="1"/>
  <c r="D24" i="5"/>
  <c r="D34" i="5" s="1"/>
  <c r="J24" i="5"/>
  <c r="J34" i="5" s="1"/>
  <c r="P24" i="5"/>
  <c r="P34" i="5" s="1"/>
  <c r="E16" i="5"/>
  <c r="E26" i="5" s="1"/>
  <c r="K16" i="5"/>
  <c r="K26" i="5" s="1"/>
  <c r="Q16" i="5"/>
  <c r="Q26" i="5" s="1"/>
  <c r="E17" i="5"/>
  <c r="E27" i="5" s="1"/>
  <c r="K17" i="5"/>
  <c r="K27" i="5" s="1"/>
  <c r="Q17" i="5"/>
  <c r="Q27" i="5" s="1"/>
  <c r="E18" i="5"/>
  <c r="E28" i="5" s="1"/>
  <c r="K18" i="5"/>
  <c r="K28" i="5" s="1"/>
  <c r="Q18" i="5"/>
  <c r="Q28" i="5" s="1"/>
  <c r="E19" i="5"/>
  <c r="E29" i="5" s="1"/>
  <c r="K19" i="5"/>
  <c r="K29" i="5" s="1"/>
  <c r="Q19" i="5"/>
  <c r="Q29" i="5" s="1"/>
  <c r="E20" i="5"/>
  <c r="E30" i="5" s="1"/>
  <c r="K20" i="5"/>
  <c r="K30" i="5" s="1"/>
  <c r="Q20" i="5"/>
  <c r="Q30" i="5" s="1"/>
  <c r="E21" i="5"/>
  <c r="E31" i="5" s="1"/>
  <c r="K21" i="5"/>
  <c r="K31" i="5" s="1"/>
  <c r="Q21" i="5"/>
  <c r="Q31" i="5" s="1"/>
  <c r="E22" i="5"/>
  <c r="E32" i="5" s="1"/>
  <c r="K22" i="5"/>
  <c r="K32" i="5" s="1"/>
  <c r="Q22" i="5"/>
  <c r="Q32" i="5" s="1"/>
  <c r="E23" i="5"/>
  <c r="E33" i="5" s="1"/>
  <c r="K23" i="5"/>
  <c r="K33" i="5" s="1"/>
  <c r="Q23" i="5"/>
  <c r="Q33" i="5" s="1"/>
  <c r="E24" i="5"/>
  <c r="E34" i="5" s="1"/>
  <c r="K24" i="5"/>
  <c r="K34" i="5" s="1"/>
  <c r="Q24" i="5"/>
  <c r="Q34" i="5" s="1"/>
  <c r="F16" i="5"/>
  <c r="F26" i="5" s="1"/>
  <c r="L16" i="5"/>
  <c r="L26" i="5" s="1"/>
  <c r="R16" i="5"/>
  <c r="R26" i="5" s="1"/>
  <c r="F17" i="5"/>
  <c r="F27" i="5" s="1"/>
  <c r="L17" i="5"/>
  <c r="L27" i="5" s="1"/>
  <c r="R17" i="5"/>
  <c r="R27" i="5" s="1"/>
  <c r="F18" i="5"/>
  <c r="F28" i="5" s="1"/>
  <c r="L18" i="5"/>
  <c r="L28" i="5" s="1"/>
  <c r="R18" i="5"/>
  <c r="R28" i="5" s="1"/>
  <c r="F19" i="5"/>
  <c r="F29" i="5" s="1"/>
  <c r="L19" i="5"/>
  <c r="L29" i="5" s="1"/>
  <c r="R19" i="5"/>
  <c r="R29" i="5" s="1"/>
  <c r="F20" i="5"/>
  <c r="F30" i="5" s="1"/>
  <c r="L20" i="5"/>
  <c r="L30" i="5" s="1"/>
  <c r="R20" i="5"/>
  <c r="R30" i="5" s="1"/>
  <c r="F21" i="5"/>
  <c r="F31" i="5" s="1"/>
  <c r="L21" i="5"/>
  <c r="L31" i="5" s="1"/>
  <c r="R21" i="5"/>
  <c r="R31" i="5" s="1"/>
  <c r="F22" i="5"/>
  <c r="F32" i="5" s="1"/>
  <c r="L22" i="5"/>
  <c r="L32" i="5" s="1"/>
  <c r="R22" i="5"/>
  <c r="R32" i="5" s="1"/>
  <c r="F23" i="5"/>
  <c r="F33" i="5" s="1"/>
  <c r="L23" i="5"/>
  <c r="L33" i="5" s="1"/>
  <c r="R23" i="5"/>
  <c r="R33" i="5" s="1"/>
  <c r="F24" i="5"/>
  <c r="F34" i="5" s="1"/>
  <c r="L24" i="5"/>
  <c r="L34" i="5" s="1"/>
  <c r="R24" i="5"/>
  <c r="R34" i="5" s="1"/>
  <c r="G16" i="5"/>
  <c r="G26" i="5" s="1"/>
  <c r="M16" i="5"/>
  <c r="M26" i="5" s="1"/>
  <c r="S16" i="5"/>
  <c r="S26" i="5" s="1"/>
  <c r="G17" i="5"/>
  <c r="G27" i="5" s="1"/>
  <c r="M17" i="5"/>
  <c r="M27" i="5" s="1"/>
  <c r="S17" i="5"/>
  <c r="S27" i="5" s="1"/>
  <c r="G18" i="5"/>
  <c r="G28" i="5" s="1"/>
  <c r="M18" i="5"/>
  <c r="M28" i="5" s="1"/>
  <c r="S18" i="5"/>
  <c r="S28" i="5" s="1"/>
  <c r="G19" i="5"/>
  <c r="G29" i="5" s="1"/>
  <c r="M19" i="5"/>
  <c r="M29" i="5" s="1"/>
  <c r="S19" i="5"/>
  <c r="S29" i="5" s="1"/>
  <c r="G20" i="5"/>
  <c r="G30" i="5" s="1"/>
  <c r="M20" i="5"/>
  <c r="M30" i="5" s="1"/>
  <c r="S20" i="5"/>
  <c r="S30" i="5" s="1"/>
  <c r="G21" i="5"/>
  <c r="G31" i="5" s="1"/>
  <c r="M21" i="5"/>
  <c r="M31" i="5" s="1"/>
  <c r="S21" i="5"/>
  <c r="S31" i="5" s="1"/>
  <c r="G22" i="5"/>
  <c r="G32" i="5" s="1"/>
  <c r="M22" i="5"/>
  <c r="M32" i="5" s="1"/>
  <c r="S22" i="5"/>
  <c r="S32" i="5" s="1"/>
  <c r="G23" i="5"/>
  <c r="G33" i="5" s="1"/>
  <c r="M23" i="5"/>
  <c r="M33" i="5" s="1"/>
  <c r="S23" i="5"/>
  <c r="S33" i="5" s="1"/>
  <c r="G24" i="5"/>
  <c r="G34" i="5" s="1"/>
  <c r="M24" i="5"/>
  <c r="M34" i="5" s="1"/>
  <c r="S24" i="5"/>
  <c r="S34" i="5" s="1"/>
  <c r="O22" i="4"/>
  <c r="O34" i="4" s="1"/>
  <c r="O24" i="4"/>
  <c r="O36" i="4" s="1"/>
  <c r="O26" i="4"/>
  <c r="O38" i="4" s="1"/>
  <c r="O28" i="4"/>
  <c r="O40" i="4" s="1"/>
  <c r="C19" i="4"/>
  <c r="C31" i="4" s="1"/>
  <c r="C21" i="4"/>
  <c r="C33" i="4" s="1"/>
  <c r="C23" i="4"/>
  <c r="C35" i="4" s="1"/>
  <c r="C25" i="4"/>
  <c r="C37" i="4" s="1"/>
  <c r="C27" i="4"/>
  <c r="C39" i="4" s="1"/>
  <c r="I19" i="4"/>
  <c r="I31" i="4" s="1"/>
  <c r="I21" i="4"/>
  <c r="I33" i="4" s="1"/>
  <c r="I23" i="4"/>
  <c r="I35" i="4" s="1"/>
  <c r="I25" i="4"/>
  <c r="I37" i="4" s="1"/>
  <c r="I27" i="4"/>
  <c r="I39" i="4" s="1"/>
  <c r="O19" i="4"/>
  <c r="O31" i="4" s="1"/>
  <c r="O21" i="4"/>
  <c r="O33" i="4" s="1"/>
  <c r="O23" i="4"/>
  <c r="O35" i="4" s="1"/>
  <c r="O25" i="4"/>
  <c r="O37" i="4" s="1"/>
  <c r="C18" i="4"/>
  <c r="C30" i="4" s="1"/>
  <c r="C20" i="4"/>
  <c r="C32" i="4" s="1"/>
  <c r="C22" i="4"/>
  <c r="C34" i="4" s="1"/>
  <c r="C24" i="4"/>
  <c r="C36" i="4" s="1"/>
  <c r="C26" i="4"/>
  <c r="C38" i="4" s="1"/>
  <c r="I18" i="4"/>
  <c r="I30" i="4" s="1"/>
  <c r="I20" i="4"/>
  <c r="I32" i="4" s="1"/>
  <c r="I22" i="4"/>
  <c r="I34" i="4" s="1"/>
  <c r="I24" i="4"/>
  <c r="I36" i="4" s="1"/>
  <c r="I26" i="4"/>
  <c r="I38" i="4" s="1"/>
  <c r="B18" i="4"/>
  <c r="B30" i="4" s="1"/>
  <c r="H18" i="4"/>
  <c r="H30" i="4" s="1"/>
  <c r="N18" i="4"/>
  <c r="N30" i="4" s="1"/>
  <c r="B19" i="4"/>
  <c r="B31" i="4" s="1"/>
  <c r="H19" i="4"/>
  <c r="H31" i="4" s="1"/>
  <c r="N19" i="4"/>
  <c r="N31" i="4" s="1"/>
  <c r="B20" i="4"/>
  <c r="B32" i="4" s="1"/>
  <c r="H20" i="4"/>
  <c r="H32" i="4" s="1"/>
  <c r="N20" i="4"/>
  <c r="N32" i="4" s="1"/>
  <c r="B21" i="4"/>
  <c r="B33" i="4" s="1"/>
  <c r="H21" i="4"/>
  <c r="H33" i="4" s="1"/>
  <c r="N21" i="4"/>
  <c r="N33" i="4" s="1"/>
  <c r="B22" i="4"/>
  <c r="B34" i="4" s="1"/>
  <c r="H22" i="4"/>
  <c r="H34" i="4" s="1"/>
  <c r="N22" i="4"/>
  <c r="N34" i="4" s="1"/>
  <c r="B23" i="4"/>
  <c r="B35" i="4" s="1"/>
  <c r="H23" i="4"/>
  <c r="H35" i="4" s="1"/>
  <c r="N23" i="4"/>
  <c r="N35" i="4" s="1"/>
  <c r="B24" i="4"/>
  <c r="B36" i="4" s="1"/>
  <c r="H24" i="4"/>
  <c r="H36" i="4" s="1"/>
  <c r="N24" i="4"/>
  <c r="N36" i="4" s="1"/>
  <c r="B25" i="4"/>
  <c r="B37" i="4" s="1"/>
  <c r="H25" i="4"/>
  <c r="H37" i="4" s="1"/>
  <c r="N25" i="4"/>
  <c r="N37" i="4" s="1"/>
  <c r="B26" i="4"/>
  <c r="B38" i="4" s="1"/>
  <c r="H26" i="4"/>
  <c r="H38" i="4" s="1"/>
  <c r="N26" i="4"/>
  <c r="N38" i="4" s="1"/>
  <c r="B27" i="4"/>
  <c r="B39" i="4" s="1"/>
  <c r="H27" i="4"/>
  <c r="H39" i="4" s="1"/>
  <c r="N27" i="4"/>
  <c r="N39" i="4" s="1"/>
  <c r="D18" i="4"/>
  <c r="D30" i="4" s="1"/>
  <c r="J18" i="4"/>
  <c r="J30" i="4" s="1"/>
  <c r="P18" i="4"/>
  <c r="P30" i="4" s="1"/>
  <c r="D19" i="4"/>
  <c r="D31" i="4" s="1"/>
  <c r="J19" i="4"/>
  <c r="J31" i="4" s="1"/>
  <c r="P19" i="4"/>
  <c r="P31" i="4" s="1"/>
  <c r="D20" i="4"/>
  <c r="D32" i="4" s="1"/>
  <c r="J20" i="4"/>
  <c r="J32" i="4" s="1"/>
  <c r="P20" i="4"/>
  <c r="P32" i="4" s="1"/>
  <c r="D21" i="4"/>
  <c r="D33" i="4" s="1"/>
  <c r="J21" i="4"/>
  <c r="J33" i="4" s="1"/>
  <c r="P21" i="4"/>
  <c r="P33" i="4" s="1"/>
  <c r="D22" i="4"/>
  <c r="D34" i="4" s="1"/>
  <c r="J22" i="4"/>
  <c r="J34" i="4" s="1"/>
  <c r="P22" i="4"/>
  <c r="P34" i="4" s="1"/>
  <c r="D23" i="4"/>
  <c r="D35" i="4" s="1"/>
  <c r="J23" i="4"/>
  <c r="J35" i="4" s="1"/>
  <c r="P23" i="4"/>
  <c r="P35" i="4" s="1"/>
  <c r="D24" i="4"/>
  <c r="D36" i="4" s="1"/>
  <c r="J24" i="4"/>
  <c r="J36" i="4" s="1"/>
  <c r="P24" i="4"/>
  <c r="P36" i="4" s="1"/>
  <c r="D25" i="4"/>
  <c r="D37" i="4" s="1"/>
  <c r="J25" i="4"/>
  <c r="J37" i="4" s="1"/>
  <c r="P25" i="4"/>
  <c r="P37" i="4" s="1"/>
  <c r="D26" i="4"/>
  <c r="D38" i="4" s="1"/>
  <c r="J26" i="4"/>
  <c r="J38" i="4" s="1"/>
  <c r="P26" i="4"/>
  <c r="P38" i="4" s="1"/>
  <c r="D27" i="4"/>
  <c r="D39" i="4" s="1"/>
  <c r="J27" i="4"/>
  <c r="J39" i="4" s="1"/>
  <c r="P27" i="4"/>
  <c r="P39" i="4" s="1"/>
  <c r="E18" i="4"/>
  <c r="E30" i="4" s="1"/>
  <c r="K18" i="4"/>
  <c r="K30" i="4" s="1"/>
  <c r="Q18" i="4"/>
  <c r="Q30" i="4" s="1"/>
  <c r="E19" i="4"/>
  <c r="E31" i="4" s="1"/>
  <c r="K19" i="4"/>
  <c r="K31" i="4" s="1"/>
  <c r="Q19" i="4"/>
  <c r="Q31" i="4" s="1"/>
  <c r="E20" i="4"/>
  <c r="E32" i="4" s="1"/>
  <c r="K20" i="4"/>
  <c r="K32" i="4" s="1"/>
  <c r="Q20" i="4"/>
  <c r="Q32" i="4" s="1"/>
  <c r="E21" i="4"/>
  <c r="E33" i="4" s="1"/>
  <c r="K21" i="4"/>
  <c r="K33" i="4" s="1"/>
  <c r="Q21" i="4"/>
  <c r="Q33" i="4" s="1"/>
  <c r="E22" i="4"/>
  <c r="E34" i="4" s="1"/>
  <c r="K22" i="4"/>
  <c r="K34" i="4" s="1"/>
  <c r="Q22" i="4"/>
  <c r="Q34" i="4" s="1"/>
  <c r="E23" i="4"/>
  <c r="E35" i="4" s="1"/>
  <c r="K23" i="4"/>
  <c r="K35" i="4" s="1"/>
  <c r="Q23" i="4"/>
  <c r="Q35" i="4" s="1"/>
  <c r="E24" i="4"/>
  <c r="E36" i="4" s="1"/>
  <c r="K24" i="4"/>
  <c r="K36" i="4" s="1"/>
  <c r="Q24" i="4"/>
  <c r="Q36" i="4" s="1"/>
  <c r="E25" i="4"/>
  <c r="E37" i="4" s="1"/>
  <c r="K25" i="4"/>
  <c r="K37" i="4" s="1"/>
  <c r="Q25" i="4"/>
  <c r="Q37" i="4" s="1"/>
  <c r="E26" i="4"/>
  <c r="E38" i="4" s="1"/>
  <c r="K26" i="4"/>
  <c r="K38" i="4" s="1"/>
  <c r="Q26" i="4"/>
  <c r="Q38" i="4" s="1"/>
  <c r="E27" i="4"/>
  <c r="E39" i="4" s="1"/>
  <c r="K27" i="4"/>
  <c r="K39" i="4" s="1"/>
  <c r="Q27" i="4"/>
  <c r="Q39" i="4" s="1"/>
  <c r="F18" i="4"/>
  <c r="F30" i="4" s="1"/>
  <c r="L18" i="4"/>
  <c r="L30" i="4" s="1"/>
  <c r="R18" i="4"/>
  <c r="R30" i="4" s="1"/>
  <c r="F19" i="4"/>
  <c r="F31" i="4" s="1"/>
  <c r="L19" i="4"/>
  <c r="L31" i="4" s="1"/>
  <c r="R19" i="4"/>
  <c r="R31" i="4" s="1"/>
  <c r="F20" i="4"/>
  <c r="F32" i="4" s="1"/>
  <c r="L20" i="4"/>
  <c r="L32" i="4" s="1"/>
  <c r="R20" i="4"/>
  <c r="R32" i="4" s="1"/>
  <c r="F21" i="4"/>
  <c r="F33" i="4" s="1"/>
  <c r="L21" i="4"/>
  <c r="L33" i="4" s="1"/>
  <c r="R21" i="4"/>
  <c r="R33" i="4" s="1"/>
  <c r="F22" i="4"/>
  <c r="F34" i="4" s="1"/>
  <c r="L22" i="4"/>
  <c r="L34" i="4" s="1"/>
  <c r="R22" i="4"/>
  <c r="R34" i="4" s="1"/>
  <c r="F23" i="4"/>
  <c r="F35" i="4" s="1"/>
  <c r="L23" i="4"/>
  <c r="L35" i="4" s="1"/>
  <c r="R23" i="4"/>
  <c r="R35" i="4" s="1"/>
  <c r="F24" i="4"/>
  <c r="F36" i="4" s="1"/>
  <c r="L24" i="4"/>
  <c r="L36" i="4" s="1"/>
  <c r="R24" i="4"/>
  <c r="R36" i="4" s="1"/>
  <c r="F25" i="4"/>
  <c r="F37" i="4" s="1"/>
  <c r="L25" i="4"/>
  <c r="L37" i="4" s="1"/>
  <c r="R25" i="4"/>
  <c r="R37" i="4" s="1"/>
  <c r="F26" i="4"/>
  <c r="F38" i="4" s="1"/>
  <c r="L26" i="4"/>
  <c r="L38" i="4" s="1"/>
  <c r="R26" i="4"/>
  <c r="R38" i="4" s="1"/>
  <c r="F27" i="4"/>
  <c r="F39" i="4" s="1"/>
  <c r="L27" i="4"/>
  <c r="L39" i="4" s="1"/>
  <c r="R27" i="4"/>
  <c r="R39" i="4" s="1"/>
  <c r="G18" i="4"/>
  <c r="G30" i="4" s="1"/>
  <c r="M18" i="4"/>
  <c r="M30" i="4" s="1"/>
  <c r="S18" i="4"/>
  <c r="S30" i="4" s="1"/>
  <c r="G19" i="4"/>
  <c r="G31" i="4" s="1"/>
  <c r="M19" i="4"/>
  <c r="M31" i="4" s="1"/>
  <c r="S19" i="4"/>
  <c r="S31" i="4" s="1"/>
  <c r="G20" i="4"/>
  <c r="G32" i="4" s="1"/>
  <c r="M20" i="4"/>
  <c r="M32" i="4" s="1"/>
  <c r="S20" i="4"/>
  <c r="S32" i="4" s="1"/>
  <c r="G21" i="4"/>
  <c r="G33" i="4" s="1"/>
  <c r="M21" i="4"/>
  <c r="M33" i="4" s="1"/>
  <c r="S21" i="4"/>
  <c r="S33" i="4" s="1"/>
  <c r="G22" i="4"/>
  <c r="G34" i="4" s="1"/>
  <c r="M22" i="4"/>
  <c r="M34" i="4" s="1"/>
  <c r="S22" i="4"/>
  <c r="S34" i="4" s="1"/>
  <c r="G23" i="4"/>
  <c r="G35" i="4" s="1"/>
  <c r="M23" i="4"/>
  <c r="M35" i="4" s="1"/>
  <c r="S23" i="4"/>
  <c r="S35" i="4" s="1"/>
  <c r="G24" i="4"/>
  <c r="G36" i="4" s="1"/>
  <c r="M24" i="4"/>
  <c r="M36" i="4" s="1"/>
  <c r="S24" i="4"/>
  <c r="S36" i="4" s="1"/>
  <c r="G25" i="4"/>
  <c r="G37" i="4" s="1"/>
  <c r="M25" i="4"/>
  <c r="M37" i="4" s="1"/>
  <c r="S25" i="4"/>
  <c r="S37" i="4" s="1"/>
  <c r="G26" i="4"/>
  <c r="G38" i="4" s="1"/>
  <c r="M26" i="4"/>
  <c r="M38" i="4" s="1"/>
  <c r="S26" i="4"/>
  <c r="S38" i="4" s="1"/>
  <c r="G27" i="4"/>
  <c r="G39" i="4" s="1"/>
  <c r="M27" i="4"/>
  <c r="M39" i="4" s="1"/>
  <c r="S27" i="4"/>
  <c r="S39" i="4" s="1"/>
  <c r="C19" i="3"/>
  <c r="C31" i="3" s="1"/>
  <c r="C21" i="3"/>
  <c r="C33" i="3" s="1"/>
  <c r="C23" i="3"/>
  <c r="C35" i="3" s="1"/>
  <c r="C25" i="3"/>
  <c r="C37" i="3" s="1"/>
  <c r="C27" i="3"/>
  <c r="C39" i="3" s="1"/>
  <c r="I19" i="3"/>
  <c r="I31" i="3" s="1"/>
  <c r="I21" i="3"/>
  <c r="I33" i="3" s="1"/>
  <c r="I23" i="3"/>
  <c r="I35" i="3" s="1"/>
  <c r="I25" i="3"/>
  <c r="I37" i="3" s="1"/>
  <c r="I27" i="3"/>
  <c r="I39" i="3" s="1"/>
  <c r="C18" i="3"/>
  <c r="C30" i="3" s="1"/>
  <c r="C20" i="3"/>
  <c r="C32" i="3" s="1"/>
  <c r="C22" i="3"/>
  <c r="C34" i="3" s="1"/>
  <c r="C24" i="3"/>
  <c r="C36" i="3" s="1"/>
  <c r="C26" i="3"/>
  <c r="C38" i="3" s="1"/>
  <c r="I28" i="3"/>
  <c r="I40" i="3" s="1"/>
  <c r="I18" i="3"/>
  <c r="I30" i="3" s="1"/>
  <c r="I20" i="3"/>
  <c r="I32" i="3" s="1"/>
  <c r="I22" i="3"/>
  <c r="I34" i="3" s="1"/>
  <c r="I24" i="3"/>
  <c r="I36" i="3" s="1"/>
  <c r="B18" i="3"/>
  <c r="B30" i="3" s="1"/>
  <c r="H18" i="3"/>
  <c r="H30" i="3" s="1"/>
  <c r="N18" i="3"/>
  <c r="N30" i="3" s="1"/>
  <c r="B19" i="3"/>
  <c r="B31" i="3" s="1"/>
  <c r="H19" i="3"/>
  <c r="H31" i="3" s="1"/>
  <c r="N19" i="3"/>
  <c r="N31" i="3" s="1"/>
  <c r="B20" i="3"/>
  <c r="B32" i="3" s="1"/>
  <c r="H20" i="3"/>
  <c r="H32" i="3" s="1"/>
  <c r="N20" i="3"/>
  <c r="N32" i="3" s="1"/>
  <c r="B21" i="3"/>
  <c r="B33" i="3" s="1"/>
  <c r="H21" i="3"/>
  <c r="H33" i="3" s="1"/>
  <c r="N21" i="3"/>
  <c r="N33" i="3" s="1"/>
  <c r="B22" i="3"/>
  <c r="B34" i="3" s="1"/>
  <c r="H22" i="3"/>
  <c r="H34" i="3" s="1"/>
  <c r="N22" i="3"/>
  <c r="N34" i="3" s="1"/>
  <c r="B23" i="3"/>
  <c r="B35" i="3" s="1"/>
  <c r="H23" i="3"/>
  <c r="H35" i="3" s="1"/>
  <c r="N23" i="3"/>
  <c r="N35" i="3" s="1"/>
  <c r="B24" i="3"/>
  <c r="B36" i="3" s="1"/>
  <c r="H24" i="3"/>
  <c r="H36" i="3" s="1"/>
  <c r="N24" i="3"/>
  <c r="N36" i="3" s="1"/>
  <c r="B25" i="3"/>
  <c r="B37" i="3" s="1"/>
  <c r="H25" i="3"/>
  <c r="H37" i="3" s="1"/>
  <c r="N25" i="3"/>
  <c r="N37" i="3" s="1"/>
  <c r="B26" i="3"/>
  <c r="B38" i="3" s="1"/>
  <c r="H26" i="3"/>
  <c r="H38" i="3" s="1"/>
  <c r="N26" i="3"/>
  <c r="N38" i="3" s="1"/>
  <c r="B27" i="3"/>
  <c r="B39" i="3" s="1"/>
  <c r="H27" i="3"/>
  <c r="H39" i="3" s="1"/>
  <c r="N27" i="3"/>
  <c r="N39" i="3" s="1"/>
  <c r="D18" i="3"/>
  <c r="D30" i="3" s="1"/>
  <c r="J18" i="3"/>
  <c r="J30" i="3" s="1"/>
  <c r="P18" i="3"/>
  <c r="P30" i="3" s="1"/>
  <c r="D19" i="3"/>
  <c r="D31" i="3" s="1"/>
  <c r="J19" i="3"/>
  <c r="J31" i="3" s="1"/>
  <c r="P19" i="3"/>
  <c r="P31" i="3" s="1"/>
  <c r="D20" i="3"/>
  <c r="D32" i="3" s="1"/>
  <c r="J20" i="3"/>
  <c r="J32" i="3" s="1"/>
  <c r="P20" i="3"/>
  <c r="P32" i="3" s="1"/>
  <c r="D21" i="3"/>
  <c r="D33" i="3" s="1"/>
  <c r="J21" i="3"/>
  <c r="J33" i="3" s="1"/>
  <c r="P21" i="3"/>
  <c r="P33" i="3" s="1"/>
  <c r="D22" i="3"/>
  <c r="D34" i="3" s="1"/>
  <c r="J22" i="3"/>
  <c r="J34" i="3" s="1"/>
  <c r="P22" i="3"/>
  <c r="P34" i="3" s="1"/>
  <c r="D23" i="3"/>
  <c r="D35" i="3" s="1"/>
  <c r="J23" i="3"/>
  <c r="J35" i="3" s="1"/>
  <c r="P23" i="3"/>
  <c r="P35" i="3" s="1"/>
  <c r="D24" i="3"/>
  <c r="D36" i="3" s="1"/>
  <c r="J24" i="3"/>
  <c r="J36" i="3" s="1"/>
  <c r="P24" i="3"/>
  <c r="P36" i="3" s="1"/>
  <c r="D25" i="3"/>
  <c r="D37" i="3" s="1"/>
  <c r="J25" i="3"/>
  <c r="J37" i="3" s="1"/>
  <c r="P25" i="3"/>
  <c r="P37" i="3" s="1"/>
  <c r="D26" i="3"/>
  <c r="D38" i="3" s="1"/>
  <c r="J26" i="3"/>
  <c r="J38" i="3" s="1"/>
  <c r="P26" i="3"/>
  <c r="P38" i="3" s="1"/>
  <c r="D27" i="3"/>
  <c r="D39" i="3" s="1"/>
  <c r="J27" i="3"/>
  <c r="J39" i="3" s="1"/>
  <c r="P27" i="3"/>
  <c r="P39" i="3" s="1"/>
  <c r="E18" i="3"/>
  <c r="E30" i="3" s="1"/>
  <c r="K18" i="3"/>
  <c r="K30" i="3" s="1"/>
  <c r="Q18" i="3"/>
  <c r="Q30" i="3" s="1"/>
  <c r="E19" i="3"/>
  <c r="E31" i="3" s="1"/>
  <c r="K19" i="3"/>
  <c r="K31" i="3" s="1"/>
  <c r="Q19" i="3"/>
  <c r="Q31" i="3" s="1"/>
  <c r="E20" i="3"/>
  <c r="E32" i="3" s="1"/>
  <c r="K20" i="3"/>
  <c r="K32" i="3" s="1"/>
  <c r="Q20" i="3"/>
  <c r="Q32" i="3" s="1"/>
  <c r="E21" i="3"/>
  <c r="E33" i="3" s="1"/>
  <c r="K21" i="3"/>
  <c r="K33" i="3" s="1"/>
  <c r="Q21" i="3"/>
  <c r="Q33" i="3" s="1"/>
  <c r="E22" i="3"/>
  <c r="E34" i="3" s="1"/>
  <c r="K22" i="3"/>
  <c r="K34" i="3" s="1"/>
  <c r="Q22" i="3"/>
  <c r="Q34" i="3" s="1"/>
  <c r="E23" i="3"/>
  <c r="E35" i="3" s="1"/>
  <c r="K23" i="3"/>
  <c r="K35" i="3" s="1"/>
  <c r="Q23" i="3"/>
  <c r="Q35" i="3" s="1"/>
  <c r="E24" i="3"/>
  <c r="E36" i="3" s="1"/>
  <c r="K24" i="3"/>
  <c r="K36" i="3" s="1"/>
  <c r="Q24" i="3"/>
  <c r="Q36" i="3" s="1"/>
  <c r="E25" i="3"/>
  <c r="E37" i="3" s="1"/>
  <c r="K25" i="3"/>
  <c r="K37" i="3" s="1"/>
  <c r="Q25" i="3"/>
  <c r="Q37" i="3" s="1"/>
  <c r="E26" i="3"/>
  <c r="E38" i="3" s="1"/>
  <c r="K26" i="3"/>
  <c r="K38" i="3" s="1"/>
  <c r="Q26" i="3"/>
  <c r="Q38" i="3" s="1"/>
  <c r="E27" i="3"/>
  <c r="E39" i="3" s="1"/>
  <c r="K27" i="3"/>
  <c r="K39" i="3" s="1"/>
  <c r="Q27" i="3"/>
  <c r="Q39" i="3" s="1"/>
  <c r="F18" i="3"/>
  <c r="F30" i="3" s="1"/>
  <c r="L18" i="3"/>
  <c r="L30" i="3" s="1"/>
  <c r="R18" i="3"/>
  <c r="R30" i="3" s="1"/>
  <c r="F19" i="3"/>
  <c r="F31" i="3" s="1"/>
  <c r="L19" i="3"/>
  <c r="L31" i="3" s="1"/>
  <c r="R19" i="3"/>
  <c r="R31" i="3" s="1"/>
  <c r="F20" i="3"/>
  <c r="F32" i="3" s="1"/>
  <c r="L20" i="3"/>
  <c r="L32" i="3" s="1"/>
  <c r="R20" i="3"/>
  <c r="R32" i="3" s="1"/>
  <c r="F21" i="3"/>
  <c r="F33" i="3" s="1"/>
  <c r="L21" i="3"/>
  <c r="L33" i="3" s="1"/>
  <c r="R21" i="3"/>
  <c r="R33" i="3" s="1"/>
  <c r="F22" i="3"/>
  <c r="F34" i="3" s="1"/>
  <c r="L22" i="3"/>
  <c r="L34" i="3" s="1"/>
  <c r="R22" i="3"/>
  <c r="R34" i="3" s="1"/>
  <c r="F23" i="3"/>
  <c r="F35" i="3" s="1"/>
  <c r="L23" i="3"/>
  <c r="L35" i="3" s="1"/>
  <c r="R23" i="3"/>
  <c r="R35" i="3" s="1"/>
  <c r="F24" i="3"/>
  <c r="F36" i="3" s="1"/>
  <c r="L24" i="3"/>
  <c r="L36" i="3" s="1"/>
  <c r="R24" i="3"/>
  <c r="R36" i="3" s="1"/>
  <c r="F25" i="3"/>
  <c r="F37" i="3" s="1"/>
  <c r="L25" i="3"/>
  <c r="L37" i="3" s="1"/>
  <c r="R25" i="3"/>
  <c r="R37" i="3" s="1"/>
  <c r="F26" i="3"/>
  <c r="F38" i="3" s="1"/>
  <c r="L26" i="3"/>
  <c r="L38" i="3" s="1"/>
  <c r="R26" i="3"/>
  <c r="R38" i="3" s="1"/>
  <c r="F27" i="3"/>
  <c r="F39" i="3" s="1"/>
  <c r="L27" i="3"/>
  <c r="L39" i="3" s="1"/>
  <c r="R27" i="3"/>
  <c r="R39" i="3" s="1"/>
  <c r="G18" i="3"/>
  <c r="G30" i="3" s="1"/>
  <c r="M18" i="3"/>
  <c r="M30" i="3" s="1"/>
  <c r="S18" i="3"/>
  <c r="S30" i="3" s="1"/>
  <c r="G19" i="3"/>
  <c r="G31" i="3" s="1"/>
  <c r="M19" i="3"/>
  <c r="M31" i="3" s="1"/>
  <c r="S19" i="3"/>
  <c r="S31" i="3" s="1"/>
  <c r="G20" i="3"/>
  <c r="G32" i="3" s="1"/>
  <c r="M20" i="3"/>
  <c r="M32" i="3" s="1"/>
  <c r="S20" i="3"/>
  <c r="S32" i="3" s="1"/>
  <c r="G21" i="3"/>
  <c r="G33" i="3" s="1"/>
  <c r="M21" i="3"/>
  <c r="M33" i="3" s="1"/>
  <c r="S21" i="3"/>
  <c r="S33" i="3" s="1"/>
  <c r="G22" i="3"/>
  <c r="G34" i="3" s="1"/>
  <c r="M22" i="3"/>
  <c r="M34" i="3" s="1"/>
  <c r="S22" i="3"/>
  <c r="S34" i="3" s="1"/>
  <c r="G23" i="3"/>
  <c r="G35" i="3" s="1"/>
  <c r="M23" i="3"/>
  <c r="M35" i="3" s="1"/>
  <c r="S23" i="3"/>
  <c r="S35" i="3" s="1"/>
  <c r="G24" i="3"/>
  <c r="G36" i="3" s="1"/>
  <c r="M24" i="3"/>
  <c r="M36" i="3" s="1"/>
  <c r="S24" i="3"/>
  <c r="S36" i="3" s="1"/>
  <c r="G25" i="3"/>
  <c r="G37" i="3" s="1"/>
  <c r="M25" i="3"/>
  <c r="M37" i="3" s="1"/>
  <c r="S25" i="3"/>
  <c r="S37" i="3" s="1"/>
  <c r="G26" i="3"/>
  <c r="G38" i="3" s="1"/>
  <c r="M26" i="3"/>
  <c r="M38" i="3" s="1"/>
  <c r="S26" i="3"/>
  <c r="S38" i="3" s="1"/>
  <c r="G27" i="3"/>
  <c r="G39" i="3" s="1"/>
  <c r="M27" i="3"/>
  <c r="M39" i="3" s="1"/>
  <c r="S27" i="3"/>
  <c r="S39" i="3" s="1"/>
  <c r="K18" i="2"/>
  <c r="K30" i="2" s="1"/>
  <c r="Q23" i="2"/>
  <c r="Q35" i="2" s="1"/>
  <c r="K23" i="2"/>
  <c r="K35" i="2" s="1"/>
  <c r="E23" i="2"/>
  <c r="E35" i="2" s="1"/>
  <c r="P22" i="2"/>
  <c r="P34" i="2" s="1"/>
  <c r="P28" i="2"/>
  <c r="P40" i="2" s="1"/>
  <c r="P21" i="2"/>
  <c r="P33" i="2" s="1"/>
  <c r="P27" i="2"/>
  <c r="P39" i="2" s="1"/>
  <c r="P20" i="2"/>
  <c r="P32" i="2" s="1"/>
  <c r="P26" i="2"/>
  <c r="P38" i="2" s="1"/>
  <c r="P19" i="2"/>
  <c r="P31" i="2" s="1"/>
  <c r="P25" i="2"/>
  <c r="P37" i="2" s="1"/>
  <c r="P18" i="2"/>
  <c r="P30" i="2" s="1"/>
  <c r="P24" i="2"/>
  <c r="P36" i="2" s="1"/>
  <c r="J22" i="2"/>
  <c r="J34" i="2" s="1"/>
  <c r="J28" i="2"/>
  <c r="J40" i="2" s="1"/>
  <c r="J21" i="2"/>
  <c r="J33" i="2" s="1"/>
  <c r="J27" i="2"/>
  <c r="J39" i="2" s="1"/>
  <c r="J20" i="2"/>
  <c r="J32" i="2" s="1"/>
  <c r="J26" i="2"/>
  <c r="J38" i="2" s="1"/>
  <c r="J19" i="2"/>
  <c r="J31" i="2" s="1"/>
  <c r="J25" i="2"/>
  <c r="J37" i="2" s="1"/>
  <c r="J18" i="2"/>
  <c r="J30" i="2" s="1"/>
  <c r="J24" i="2"/>
  <c r="J36" i="2" s="1"/>
  <c r="D22" i="2"/>
  <c r="D34" i="2" s="1"/>
  <c r="D28" i="2"/>
  <c r="D40" i="2" s="1"/>
  <c r="D21" i="2"/>
  <c r="D33" i="2" s="1"/>
  <c r="D27" i="2"/>
  <c r="D39" i="2" s="1"/>
  <c r="D20" i="2"/>
  <c r="D32" i="2" s="1"/>
  <c r="D26" i="2"/>
  <c r="D38" i="2" s="1"/>
  <c r="D19" i="2"/>
  <c r="D31" i="2" s="1"/>
  <c r="D25" i="2"/>
  <c r="D37" i="2" s="1"/>
  <c r="D18" i="2"/>
  <c r="D30" i="2" s="1"/>
  <c r="D24" i="2"/>
  <c r="D36" i="2" s="1"/>
  <c r="Q22" i="2"/>
  <c r="Q34" i="2" s="1"/>
  <c r="Q28" i="2"/>
  <c r="Q40" i="2" s="1"/>
  <c r="Q21" i="2"/>
  <c r="Q33" i="2" s="1"/>
  <c r="Q27" i="2"/>
  <c r="Q39" i="2" s="1"/>
  <c r="Q20" i="2"/>
  <c r="Q32" i="2" s="1"/>
  <c r="Q26" i="2"/>
  <c r="Q38" i="2" s="1"/>
  <c r="K22" i="2"/>
  <c r="K34" i="2" s="1"/>
  <c r="K28" i="2"/>
  <c r="K40" i="2" s="1"/>
  <c r="K21" i="2"/>
  <c r="K33" i="2" s="1"/>
  <c r="K27" i="2"/>
  <c r="K39" i="2" s="1"/>
  <c r="K20" i="2"/>
  <c r="K32" i="2" s="1"/>
  <c r="K26" i="2"/>
  <c r="K38" i="2" s="1"/>
  <c r="E22" i="2"/>
  <c r="E34" i="2" s="1"/>
  <c r="E28" i="2"/>
  <c r="E40" i="2" s="1"/>
  <c r="E21" i="2"/>
  <c r="E33" i="2" s="1"/>
  <c r="E27" i="2"/>
  <c r="E39" i="2" s="1"/>
  <c r="E20" i="2"/>
  <c r="E32" i="2" s="1"/>
  <c r="E26" i="2"/>
  <c r="E38" i="2" s="1"/>
  <c r="E24" i="2"/>
  <c r="E36" i="2" s="1"/>
  <c r="P23" i="2"/>
  <c r="P35" i="2" s="1"/>
  <c r="B25" i="2"/>
  <c r="B37" i="2" s="1"/>
  <c r="B19" i="2"/>
  <c r="B31" i="2" s="1"/>
  <c r="N28" i="2"/>
  <c r="N40" i="2" s="1"/>
  <c r="H28" i="2"/>
  <c r="H40" i="2" s="1"/>
  <c r="S27" i="2"/>
  <c r="S39" i="2" s="1"/>
  <c r="M27" i="2"/>
  <c r="M39" i="2" s="1"/>
  <c r="G27" i="2"/>
  <c r="G39" i="2" s="1"/>
  <c r="R26" i="2"/>
  <c r="R38" i="2" s="1"/>
  <c r="L26" i="2"/>
  <c r="L38" i="2" s="1"/>
  <c r="F26" i="2"/>
  <c r="F38" i="2" s="1"/>
  <c r="Q25" i="2"/>
  <c r="Q37" i="2" s="1"/>
  <c r="K25" i="2"/>
  <c r="K37" i="2" s="1"/>
  <c r="E25" i="2"/>
  <c r="E37" i="2" s="1"/>
  <c r="N22" i="2"/>
  <c r="N34" i="2" s="1"/>
  <c r="H22" i="2"/>
  <c r="H34" i="2" s="1"/>
  <c r="S21" i="2"/>
  <c r="S33" i="2" s="1"/>
  <c r="M21" i="2"/>
  <c r="M33" i="2" s="1"/>
  <c r="G21" i="2"/>
  <c r="G33" i="2" s="1"/>
  <c r="R20" i="2"/>
  <c r="R32" i="2" s="1"/>
  <c r="L20" i="2"/>
  <c r="L32" i="2" s="1"/>
  <c r="F20" i="2"/>
  <c r="F32" i="2" s="1"/>
  <c r="Q19" i="2"/>
  <c r="Q31" i="2" s="1"/>
  <c r="K19" i="2"/>
  <c r="K31" i="2" s="1"/>
  <c r="E19" i="2"/>
  <c r="E31" i="2" s="1"/>
  <c r="B24" i="2"/>
  <c r="B36" i="2" s="1"/>
  <c r="S28" i="2"/>
  <c r="S40" i="2" s="1"/>
  <c r="M28" i="2"/>
  <c r="M40" i="2" s="1"/>
  <c r="G28" i="2"/>
  <c r="G40" i="2" s="1"/>
  <c r="R27" i="2"/>
  <c r="R39" i="2" s="1"/>
  <c r="L27" i="2"/>
  <c r="L39" i="2" s="1"/>
  <c r="F27" i="2"/>
  <c r="F39" i="2" s="1"/>
  <c r="O24" i="2"/>
  <c r="O36" i="2" s="1"/>
  <c r="I24" i="2"/>
  <c r="I36" i="2" s="1"/>
  <c r="C24" i="2"/>
  <c r="C36" i="2" s="1"/>
  <c r="N23" i="2"/>
  <c r="N35" i="2" s="1"/>
  <c r="H23" i="2"/>
  <c r="H35" i="2" s="1"/>
  <c r="S22" i="2"/>
  <c r="S34" i="2" s="1"/>
  <c r="M22" i="2"/>
  <c r="M34" i="2" s="1"/>
  <c r="G22" i="2"/>
  <c r="G34" i="2" s="1"/>
  <c r="R21" i="2"/>
  <c r="R33" i="2" s="1"/>
  <c r="L21" i="2"/>
  <c r="L33" i="2" s="1"/>
  <c r="F21" i="2"/>
  <c r="F33" i="2" s="1"/>
  <c r="O18" i="2"/>
  <c r="O30" i="2" s="1"/>
  <c r="I18" i="2"/>
  <c r="I30" i="2" s="1"/>
  <c r="C18" i="2"/>
  <c r="C30" i="2" s="1"/>
  <c r="B18" i="2"/>
  <c r="B30" i="2" s="1"/>
  <c r="B23" i="2"/>
  <c r="B35" i="2" s="1"/>
  <c r="R28" i="2"/>
  <c r="R40" i="2" s="1"/>
  <c r="L28" i="2"/>
  <c r="L40" i="2" s="1"/>
  <c r="F28" i="2"/>
  <c r="F40" i="2" s="1"/>
  <c r="O25" i="2"/>
  <c r="O37" i="2" s="1"/>
  <c r="I25" i="2"/>
  <c r="I37" i="2" s="1"/>
  <c r="C25" i="2"/>
  <c r="C37" i="2" s="1"/>
  <c r="N24" i="2"/>
  <c r="N36" i="2" s="1"/>
  <c r="H24" i="2"/>
  <c r="H36" i="2" s="1"/>
  <c r="S23" i="2"/>
  <c r="S35" i="2" s="1"/>
  <c r="M23" i="2"/>
  <c r="M35" i="2" s="1"/>
  <c r="G23" i="2"/>
  <c r="G35" i="2" s="1"/>
  <c r="R22" i="2"/>
  <c r="R34" i="2" s="1"/>
  <c r="L22" i="2"/>
  <c r="L34" i="2" s="1"/>
  <c r="F22" i="2"/>
  <c r="F34" i="2" s="1"/>
  <c r="O19" i="2"/>
  <c r="O31" i="2" s="1"/>
  <c r="I19" i="2"/>
  <c r="I31" i="2" s="1"/>
  <c r="C19" i="2"/>
  <c r="C31" i="2" s="1"/>
  <c r="N18" i="2"/>
  <c r="N30" i="2" s="1"/>
  <c r="H18" i="2"/>
  <c r="H30" i="2" s="1"/>
  <c r="B28" i="2"/>
  <c r="B40" i="2" s="1"/>
  <c r="B22" i="2"/>
  <c r="B34" i="2" s="1"/>
  <c r="O26" i="2"/>
  <c r="O38" i="2" s="1"/>
  <c r="I26" i="2"/>
  <c r="I38" i="2" s="1"/>
  <c r="C26" i="2"/>
  <c r="C38" i="2" s="1"/>
  <c r="N25" i="2"/>
  <c r="N37" i="2" s="1"/>
  <c r="H25" i="2"/>
  <c r="H37" i="2" s="1"/>
  <c r="S24" i="2"/>
  <c r="S36" i="2" s="1"/>
  <c r="M24" i="2"/>
  <c r="M36" i="2" s="1"/>
  <c r="G24" i="2"/>
  <c r="G36" i="2" s="1"/>
  <c r="R23" i="2"/>
  <c r="R35" i="2" s="1"/>
  <c r="L23" i="2"/>
  <c r="L35" i="2" s="1"/>
  <c r="F23" i="2"/>
  <c r="F35" i="2" s="1"/>
  <c r="O20" i="2"/>
  <c r="O32" i="2" s="1"/>
  <c r="I20" i="2"/>
  <c r="I32" i="2" s="1"/>
  <c r="C20" i="2"/>
  <c r="C32" i="2" s="1"/>
  <c r="N19" i="2"/>
  <c r="N31" i="2" s="1"/>
  <c r="H19" i="2"/>
  <c r="H31" i="2" s="1"/>
  <c r="S18" i="2"/>
  <c r="S30" i="2" s="1"/>
  <c r="M18" i="2"/>
  <c r="M30" i="2" s="1"/>
  <c r="G18" i="2"/>
  <c r="G30" i="2" s="1"/>
  <c r="B27" i="2"/>
  <c r="B39" i="2" s="1"/>
  <c r="O27" i="2"/>
  <c r="O39" i="2" s="1"/>
  <c r="I27" i="2"/>
  <c r="I39" i="2" s="1"/>
  <c r="C27" i="2"/>
  <c r="C39" i="2" s="1"/>
  <c r="N26" i="2"/>
  <c r="N38" i="2" s="1"/>
  <c r="H26" i="2"/>
  <c r="H38" i="2" s="1"/>
  <c r="S25" i="2"/>
  <c r="S37" i="2" s="1"/>
  <c r="M25" i="2"/>
  <c r="M37" i="2" s="1"/>
  <c r="G25" i="2"/>
  <c r="G37" i="2" s="1"/>
  <c r="R24" i="2"/>
  <c r="R36" i="2" s="1"/>
  <c r="L24" i="2"/>
  <c r="L36" i="2" s="1"/>
  <c r="F24" i="2"/>
  <c r="F36" i="2" s="1"/>
  <c r="I20" i="9" l="1"/>
  <c r="M20" i="9"/>
  <c r="C20" i="9"/>
  <c r="N20" i="9"/>
  <c r="F20" i="9"/>
  <c r="L20" i="9"/>
  <c r="G20" i="9"/>
  <c r="Q20" i="9"/>
  <c r="H20" i="9"/>
  <c r="O20" i="9"/>
  <c r="D20" i="9"/>
</calcChain>
</file>

<file path=xl/sharedStrings.xml><?xml version="1.0" encoding="utf-8"?>
<sst xmlns="http://schemas.openxmlformats.org/spreadsheetml/2006/main" count="237" uniqueCount="22">
  <si>
    <t>P</t>
  </si>
  <si>
    <t>101R (Ohm)</t>
  </si>
  <si>
    <t>102R (Ohm)</t>
  </si>
  <si>
    <t>103R (Ohm)</t>
  </si>
  <si>
    <t>104R (Ohm)</t>
  </si>
  <si>
    <t>105R (Ohm)</t>
  </si>
  <si>
    <t>106R (Ohm)</t>
  </si>
  <si>
    <t>107R (Ohm)</t>
  </si>
  <si>
    <t>108R (Ohm)</t>
  </si>
  <si>
    <t>109R (Ohm)</t>
  </si>
  <si>
    <t>110R (Ohm)</t>
  </si>
  <si>
    <t>111R (Ohm)</t>
  </si>
  <si>
    <t>112R (Ohm)</t>
  </si>
  <si>
    <t>113R (Ohm)</t>
  </si>
  <si>
    <t>114R (Ohm)</t>
  </si>
  <si>
    <t>115R (Ohm)</t>
  </si>
  <si>
    <t>116R (Ohm)</t>
  </si>
  <si>
    <t>117R (Ohm)</t>
  </si>
  <si>
    <t>118R (Ohm)</t>
  </si>
  <si>
    <t>l</t>
  </si>
  <si>
    <t>u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</si>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</sst>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 loading'!$B$1</c:f>
              <c:strCache>
                <c:ptCount val="1"/>
                <c:pt idx="0">
                  <c:v>101R (Ohm)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'100 loading'!$C$2:$C$12</c:f>
              <c:numCache>
                <c:formatCode>General</c:formatCode>
                <c:ptCount val="11"/>
                <c:pt idx="0">
                  <c:v>79.81995611195812</c:v>
                </c:pt>
                <c:pt idx="1">
                  <c:v>107.69047231711936</c:v>
                </c:pt>
                <c:pt idx="2">
                  <c:v>135.06573603816139</c:v>
                </c:pt>
                <c:pt idx="3">
                  <c:v>180.78700693469844</c:v>
                </c:pt>
                <c:pt idx="4">
                  <c:v>219.1149348522753</c:v>
                </c:pt>
                <c:pt idx="5">
                  <c:v>258.35216914948165</c:v>
                </c:pt>
                <c:pt idx="6">
                  <c:v>345.23261027406937</c:v>
                </c:pt>
                <c:pt idx="7">
                  <c:v>424.25014941142325</c:v>
                </c:pt>
                <c:pt idx="8">
                  <c:v>568.92057361867285</c:v>
                </c:pt>
                <c:pt idx="9">
                  <c:v>722.81718897165422</c:v>
                </c:pt>
                <c:pt idx="10">
                  <c:v>848.35047932239263</c:v>
                </c:pt>
              </c:numCache>
            </c:numRef>
          </c:xVal>
          <c:yVal>
            <c:numRef>
              <c:f>'100 loading'!$A$2:$A$12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9-4F6C-909D-20A53F5C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20352"/>
        <c:axId val="503960160"/>
      </c:scatterChart>
      <c:valAx>
        <c:axId val="39632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60160"/>
        <c:crosses val="autoZero"/>
        <c:crossBetween val="midCat"/>
      </c:valAx>
      <c:valAx>
        <c:axId val="5039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2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428625</xdr:colOff>
      <xdr:row>1</xdr:row>
      <xdr:rowOff>119062</xdr:rowOff>
    </xdr:from>
    <xdr:to>
      <xdr:col>27</xdr:col>
      <xdr:colOff>123825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E97E8-5F4C-977F-36A5-378865285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3DFD-79AE-4EC3-9CE5-7D217BD686F2}">
  <dimension ref="A1:BG28"/>
  <sheetViews>
    <sheetView topLeftCell="AC1" zoomScale="85" zoomScaleNormal="85" workbookViewId="0">
      <selection activeCell="AT30" sqref="AT30"/>
    </sheetView>
  </sheetViews>
  <sheetFormatPr defaultRowHeight="15" x14ac:dyDescent="0.25"/>
  <cols>
    <col min="41" max="59" width="9.140625" style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  <c r="AM1" t="s">
        <v>18</v>
      </c>
      <c r="AO1" s="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V1" t="s">
        <v>7</v>
      </c>
      <c r="AW1" t="s">
        <v>8</v>
      </c>
      <c r="AX1" t="s">
        <v>9</v>
      </c>
      <c r="AY1" t="s">
        <v>10</v>
      </c>
      <c r="AZ1" t="s">
        <v>11</v>
      </c>
      <c r="BA1" t="s">
        <v>12</v>
      </c>
      <c r="BB1" t="s">
        <v>13</v>
      </c>
      <c r="BC1" t="s">
        <v>14</v>
      </c>
      <c r="BD1" t="s">
        <v>15</v>
      </c>
      <c r="BE1" t="s">
        <v>16</v>
      </c>
      <c r="BF1" t="s">
        <v>17</v>
      </c>
      <c r="BG1" t="s">
        <v>18</v>
      </c>
    </row>
    <row r="2" spans="1:59" x14ac:dyDescent="0.25">
      <c r="A2">
        <v>0</v>
      </c>
      <c r="B2">
        <v>51.315902915760731</v>
      </c>
      <c r="C2">
        <v>79.81995611195812</v>
      </c>
      <c r="D2">
        <v>312.78851383270211</v>
      </c>
      <c r="E2">
        <v>478.91097849275224</v>
      </c>
      <c r="F2">
        <v>185.16277145600586</v>
      </c>
      <c r="G2">
        <v>387.32463765934142</v>
      </c>
      <c r="H2">
        <v>493.19828497090668</v>
      </c>
      <c r="I2">
        <v>396.43515510344736</v>
      </c>
      <c r="J2">
        <v>113.18863691421231</v>
      </c>
      <c r="K2">
        <v>282.51234668436911</v>
      </c>
      <c r="L2">
        <v>606.96644379543204</v>
      </c>
      <c r="M2">
        <v>300.29195300637133</v>
      </c>
      <c r="N2">
        <v>507.14443916382027</v>
      </c>
      <c r="O2">
        <v>172.42133639851718</v>
      </c>
      <c r="P2">
        <v>2.9808303266814096</v>
      </c>
      <c r="Q2">
        <v>25.515005841107804</v>
      </c>
      <c r="R2">
        <v>604.03981275197862</v>
      </c>
      <c r="S2">
        <v>230.07957370313102</v>
      </c>
      <c r="U2">
        <v>0</v>
      </c>
      <c r="V2">
        <v>38.81307329547208</v>
      </c>
      <c r="W2">
        <v>68.240073608162547</v>
      </c>
      <c r="X2">
        <v>266.73670649169634</v>
      </c>
      <c r="Y2">
        <v>320.77306949670884</v>
      </c>
      <c r="Z2">
        <v>165.9026244984652</v>
      </c>
      <c r="AA2">
        <v>311.47166069948491</v>
      </c>
      <c r="AB2">
        <v>411.07757196025665</v>
      </c>
      <c r="AC2">
        <v>282.97249092507775</v>
      </c>
      <c r="AD2">
        <v>73.34172727670304</v>
      </c>
      <c r="AE2">
        <v>187.81345257074497</v>
      </c>
      <c r="AF2">
        <v>436.79936461536556</v>
      </c>
      <c r="AG2">
        <v>227.7936963547356</v>
      </c>
      <c r="AH2">
        <v>459.28979546085679</v>
      </c>
      <c r="AI2">
        <v>109.22547589267153</v>
      </c>
      <c r="AJ2">
        <v>6.1878577454249806</v>
      </c>
      <c r="AK2">
        <v>12.513880415562307</v>
      </c>
      <c r="AL2">
        <v>425.62280697583668</v>
      </c>
      <c r="AM2">
        <v>190.89450180963578</v>
      </c>
      <c r="AO2" s="1">
        <v>0</v>
      </c>
      <c r="AP2" s="1">
        <v>60.585296779157822</v>
      </c>
      <c r="AQ2" s="1">
        <v>87.296597115061545</v>
      </c>
      <c r="AR2" s="1">
        <v>320.66872007634475</v>
      </c>
      <c r="AS2" s="1">
        <v>469.63923159823258</v>
      </c>
      <c r="AT2" s="1">
        <v>192.23792795747002</v>
      </c>
      <c r="AU2" s="1">
        <v>391.91630948828998</v>
      </c>
      <c r="AV2" s="1">
        <v>493.75645914683287</v>
      </c>
      <c r="AW2" s="1">
        <v>387.57295134252809</v>
      </c>
      <c r="AX2" s="1">
        <v>118.16404248879267</v>
      </c>
      <c r="AY2" s="1">
        <v>276.16097769190714</v>
      </c>
      <c r="AZ2" s="1">
        <v>608.1533792743345</v>
      </c>
      <c r="BA2" s="1">
        <v>301.55396445885782</v>
      </c>
      <c r="BB2" s="1">
        <v>509.55069663119184</v>
      </c>
      <c r="BC2" s="1">
        <v>174.74026627785744</v>
      </c>
      <c r="BD2" s="1">
        <v>2.9914351123041909</v>
      </c>
      <c r="BE2" s="1">
        <v>25.083768948587927</v>
      </c>
      <c r="BF2" s="1">
        <v>601.88498054758259</v>
      </c>
      <c r="BG2" s="1">
        <v>225.7787739754892</v>
      </c>
    </row>
    <row r="3" spans="1:59" x14ac:dyDescent="0.25">
      <c r="A3">
        <v>4</v>
      </c>
      <c r="B3">
        <v>77.481873033210945</v>
      </c>
      <c r="C3">
        <v>107.69047231711936</v>
      </c>
      <c r="D3">
        <v>347.29017684374787</v>
      </c>
      <c r="E3">
        <v>504.37287597165255</v>
      </c>
      <c r="F3">
        <v>211.57108655548004</v>
      </c>
      <c r="G3">
        <v>413.47957430830991</v>
      </c>
      <c r="H3">
        <v>511.62179898135469</v>
      </c>
      <c r="I3">
        <v>426.44879249183526</v>
      </c>
      <c r="J3">
        <v>146.69243584698796</v>
      </c>
      <c r="K3">
        <v>319.98184136861954</v>
      </c>
      <c r="L3">
        <v>632.8744711852836</v>
      </c>
      <c r="M3">
        <v>316.74503672420531</v>
      </c>
      <c r="N3">
        <v>517.66055888575784</v>
      </c>
      <c r="O3">
        <v>218.81130003907299</v>
      </c>
      <c r="P3">
        <v>2.9809224968476573</v>
      </c>
      <c r="Q3">
        <v>31.176405862148524</v>
      </c>
      <c r="R3">
        <v>630.16387857339657</v>
      </c>
      <c r="S3">
        <v>272.74228054385821</v>
      </c>
      <c r="U3">
        <v>4</v>
      </c>
      <c r="V3">
        <v>61.914787747355561</v>
      </c>
      <c r="W3">
        <v>85.599778516655448</v>
      </c>
      <c r="X3">
        <v>296.93197831507439</v>
      </c>
      <c r="Y3">
        <v>344.43448751117921</v>
      </c>
      <c r="Z3">
        <v>190.80414219133328</v>
      </c>
      <c r="AA3">
        <v>337.66006728922804</v>
      </c>
      <c r="AB3">
        <v>424.40837235219726</v>
      </c>
      <c r="AC3">
        <v>311.93213537385407</v>
      </c>
      <c r="AD3">
        <v>100.42739357845905</v>
      </c>
      <c r="AE3">
        <v>229.91291410146582</v>
      </c>
      <c r="AF3">
        <v>466.90248066950022</v>
      </c>
      <c r="AG3">
        <v>246.5747629293493</v>
      </c>
      <c r="AH3">
        <v>467.40744983907786</v>
      </c>
      <c r="AI3">
        <v>148.05905601427403</v>
      </c>
      <c r="AJ3">
        <v>6.3505206975402251</v>
      </c>
      <c r="AK3">
        <v>22.590182417562893</v>
      </c>
      <c r="AL3">
        <v>451.02664744455501</v>
      </c>
      <c r="AM3">
        <v>234.35226043088795</v>
      </c>
      <c r="AO3" s="1">
        <v>4</v>
      </c>
      <c r="AP3" s="1">
        <v>83.503874100967565</v>
      </c>
      <c r="AQ3" s="1">
        <v>112.35722533786186</v>
      </c>
      <c r="AR3" s="1">
        <v>351.0353280982365</v>
      </c>
      <c r="AS3" s="1">
        <v>495.2670277896213</v>
      </c>
      <c r="AT3" s="1">
        <v>213.36663153959384</v>
      </c>
      <c r="AU3" s="1">
        <v>418.06474336861243</v>
      </c>
      <c r="AV3" s="1">
        <v>511.35092905175702</v>
      </c>
      <c r="AW3" s="1">
        <v>417.00760057959326</v>
      </c>
      <c r="AX3" s="1">
        <v>146.56707545424268</v>
      </c>
      <c r="AY3" s="1">
        <v>312.23851618869253</v>
      </c>
      <c r="AZ3" s="1">
        <v>635.43286435816992</v>
      </c>
      <c r="BA3" s="1">
        <v>318.92616296706041</v>
      </c>
      <c r="BB3" s="1">
        <v>522.64282185126069</v>
      </c>
      <c r="BC3" s="1">
        <v>219.28050344796026</v>
      </c>
      <c r="BD3" s="1">
        <v>2.9925126188178921</v>
      </c>
      <c r="BE3" s="1">
        <v>37.32905158631899</v>
      </c>
      <c r="BF3" s="1">
        <v>627.52842633091132</v>
      </c>
      <c r="BG3" s="1">
        <v>264.4867380029367</v>
      </c>
    </row>
    <row r="4" spans="1:59" x14ac:dyDescent="0.25">
      <c r="A4">
        <v>8</v>
      </c>
      <c r="B4">
        <v>108.40759168451001</v>
      </c>
      <c r="C4">
        <v>135.06573603816139</v>
      </c>
      <c r="D4">
        <v>382.45676724835965</v>
      </c>
      <c r="E4">
        <v>539.75504959224531</v>
      </c>
      <c r="F4">
        <v>247.74906494564999</v>
      </c>
      <c r="G4">
        <v>445.0959956155487</v>
      </c>
      <c r="H4">
        <v>535.76706193376594</v>
      </c>
      <c r="I4">
        <v>456.19036600137588</v>
      </c>
      <c r="J4">
        <v>177.70227111221695</v>
      </c>
      <c r="K4">
        <v>361.45288024481385</v>
      </c>
      <c r="L4">
        <v>666.41452370963987</v>
      </c>
      <c r="M4">
        <v>339.0926596875052</v>
      </c>
      <c r="N4">
        <v>526.98895286518575</v>
      </c>
      <c r="O4">
        <v>264.40898073879623</v>
      </c>
      <c r="P4">
        <v>3.0950584949053681</v>
      </c>
      <c r="Q4">
        <v>50.923093547265012</v>
      </c>
      <c r="R4">
        <v>660.08932740994396</v>
      </c>
      <c r="S4">
        <v>317.45426305471949</v>
      </c>
      <c r="U4">
        <v>8</v>
      </c>
      <c r="V4">
        <v>82.254606167065248</v>
      </c>
      <c r="W4">
        <v>104.74823379750327</v>
      </c>
      <c r="X4">
        <v>324.86082239401588</v>
      </c>
      <c r="Y4">
        <v>370.10363618000093</v>
      </c>
      <c r="Z4">
        <v>208.15209632249108</v>
      </c>
      <c r="AA4">
        <v>364.53445717786752</v>
      </c>
      <c r="AB4">
        <v>436.9904346408378</v>
      </c>
      <c r="AC4">
        <v>347.76389830341327</v>
      </c>
      <c r="AD4">
        <v>122.10863802912748</v>
      </c>
      <c r="AE4">
        <v>266.91222599324107</v>
      </c>
      <c r="AF4">
        <v>501.32404278644566</v>
      </c>
      <c r="AG4">
        <v>267.16071007065375</v>
      </c>
      <c r="AH4">
        <v>475.50398561172739</v>
      </c>
      <c r="AI4">
        <v>186.76604892967225</v>
      </c>
      <c r="AJ4">
        <v>6.5153506730308841</v>
      </c>
      <c r="AK4">
        <v>36.962730988585392</v>
      </c>
      <c r="AL4">
        <v>478.52920317144486</v>
      </c>
      <c r="AM4">
        <v>268.15486379353655</v>
      </c>
      <c r="AO4" s="1">
        <v>8</v>
      </c>
      <c r="AP4" s="1">
        <v>106.53643178585985</v>
      </c>
      <c r="AQ4" s="1">
        <v>143.79346941830667</v>
      </c>
      <c r="AR4" s="1">
        <v>381.29268109381707</v>
      </c>
      <c r="AS4" s="1">
        <v>524.48574759669521</v>
      </c>
      <c r="AT4" s="1">
        <v>240.34900832684198</v>
      </c>
      <c r="AU4" s="1">
        <v>444.75569931588626</v>
      </c>
      <c r="AV4" s="1">
        <v>529.26496084979431</v>
      </c>
      <c r="AW4" s="1">
        <v>442.33483649051698</v>
      </c>
      <c r="AX4" s="1">
        <v>172.77907443168095</v>
      </c>
      <c r="AY4" s="1">
        <v>347.1849348839018</v>
      </c>
      <c r="AZ4" s="1">
        <v>664.52966501927949</v>
      </c>
      <c r="BA4" s="1">
        <v>338.34643314589005</v>
      </c>
      <c r="BB4" s="1">
        <v>531.25741415403184</v>
      </c>
      <c r="BC4" s="1">
        <v>257.78405551007074</v>
      </c>
      <c r="BD4" s="1">
        <v>3.0387506416897776</v>
      </c>
      <c r="BE4" s="1">
        <v>53.790575452604145</v>
      </c>
      <c r="BF4" s="1">
        <v>655.13439261668498</v>
      </c>
      <c r="BG4" s="1">
        <v>302.64848644617001</v>
      </c>
    </row>
    <row r="5" spans="1:59" x14ac:dyDescent="0.25">
      <c r="A5">
        <v>12</v>
      </c>
      <c r="B5">
        <v>136.43309712519638</v>
      </c>
      <c r="C5">
        <v>180.78700693469844</v>
      </c>
      <c r="D5">
        <v>420.99080499230718</v>
      </c>
      <c r="E5">
        <v>579.93570521705783</v>
      </c>
      <c r="F5">
        <v>282.89736928473349</v>
      </c>
      <c r="G5">
        <v>480.60939343054781</v>
      </c>
      <c r="H5">
        <v>568.90398962404913</v>
      </c>
      <c r="I5">
        <v>495.51708094516874</v>
      </c>
      <c r="J5">
        <v>207.10876242312042</v>
      </c>
      <c r="K5">
        <v>408.02492328202624</v>
      </c>
      <c r="L5">
        <v>703.00762798878384</v>
      </c>
      <c r="M5">
        <v>367.11112539442559</v>
      </c>
      <c r="N5">
        <v>546.6817492532706</v>
      </c>
      <c r="O5">
        <v>315.08858381087492</v>
      </c>
      <c r="P5">
        <v>4.7403080749555597</v>
      </c>
      <c r="Q5">
        <v>76.766943543309921</v>
      </c>
      <c r="R5">
        <v>697.01902969046091</v>
      </c>
      <c r="S5">
        <v>362.2736286636964</v>
      </c>
      <c r="U5">
        <v>12</v>
      </c>
      <c r="V5">
        <v>110.40115324467779</v>
      </c>
      <c r="W5">
        <v>130.39049262565899</v>
      </c>
      <c r="X5">
        <v>355.58967401647664</v>
      </c>
      <c r="Y5">
        <v>403.70110888929275</v>
      </c>
      <c r="Z5">
        <v>237.60606425289404</v>
      </c>
      <c r="AA5">
        <v>395.30563646122255</v>
      </c>
      <c r="AB5">
        <v>457.88749700984533</v>
      </c>
      <c r="AC5">
        <v>384.03762142568939</v>
      </c>
      <c r="AD5">
        <v>150.58276128304965</v>
      </c>
      <c r="AE5">
        <v>314.56283062374274</v>
      </c>
      <c r="AF5">
        <v>544.18843276835753</v>
      </c>
      <c r="AG5">
        <v>290.57786525519344</v>
      </c>
      <c r="AH5">
        <v>487.40679003719271</v>
      </c>
      <c r="AI5">
        <v>231.38421866367966</v>
      </c>
      <c r="AJ5">
        <v>11.262469491715418</v>
      </c>
      <c r="AK5">
        <v>60.706661634075431</v>
      </c>
      <c r="AL5">
        <v>514.60535769324804</v>
      </c>
      <c r="AM5">
        <v>312.46224641202849</v>
      </c>
      <c r="AO5" s="1">
        <v>12</v>
      </c>
      <c r="AP5" s="1">
        <v>131.87672965427836</v>
      </c>
      <c r="AQ5" s="1">
        <v>179.87211076678526</v>
      </c>
      <c r="AR5" s="1">
        <v>411.29504307464202</v>
      </c>
      <c r="AS5" s="1">
        <v>559.94276351241092</v>
      </c>
      <c r="AT5" s="1">
        <v>267.60644842499124</v>
      </c>
      <c r="AU5" s="1">
        <v>473.38332434480469</v>
      </c>
      <c r="AV5" s="1">
        <v>558.91661799770702</v>
      </c>
      <c r="AW5" s="1">
        <v>478.06475231749351</v>
      </c>
      <c r="AX5" s="1">
        <v>196.28422178107257</v>
      </c>
      <c r="AY5" s="1">
        <v>384.63765081451379</v>
      </c>
      <c r="AZ5" s="1">
        <v>694.66886867445191</v>
      </c>
      <c r="BA5" s="1">
        <v>360.18415744478438</v>
      </c>
      <c r="BB5" s="1">
        <v>546.16035350263405</v>
      </c>
      <c r="BC5" s="1">
        <v>300.44701232504889</v>
      </c>
      <c r="BD5" s="1">
        <v>3.9049976861750979</v>
      </c>
      <c r="BE5" s="1">
        <v>72.979323456455774</v>
      </c>
      <c r="BF5" s="1">
        <v>684.30837090927855</v>
      </c>
      <c r="BG5" s="1">
        <v>342.55736333105972</v>
      </c>
    </row>
    <row r="6" spans="1:59" x14ac:dyDescent="0.25">
      <c r="A6">
        <v>16</v>
      </c>
      <c r="B6">
        <v>171.01496286166858</v>
      </c>
      <c r="C6">
        <v>219.1149348522753</v>
      </c>
      <c r="D6">
        <v>457.635568702939</v>
      </c>
      <c r="E6">
        <v>619.08115399829012</v>
      </c>
      <c r="F6">
        <v>320.02879932686943</v>
      </c>
      <c r="G6">
        <v>512.08808858946315</v>
      </c>
      <c r="H6">
        <v>603.63338676692956</v>
      </c>
      <c r="I6">
        <v>529.98533402436146</v>
      </c>
      <c r="J6">
        <v>232.04723675619624</v>
      </c>
      <c r="K6">
        <v>448.2383168197793</v>
      </c>
      <c r="L6">
        <v>740.97280528934709</v>
      </c>
      <c r="M6">
        <v>393.88631158981036</v>
      </c>
      <c r="N6">
        <v>575.65495905872376</v>
      </c>
      <c r="O6">
        <v>368.42350152048863</v>
      </c>
      <c r="P6">
        <v>11.278003558433912</v>
      </c>
      <c r="Q6">
        <v>98.931453183935716</v>
      </c>
      <c r="R6">
        <v>732.14883594193066</v>
      </c>
      <c r="S6">
        <v>406.62010174788691</v>
      </c>
      <c r="U6">
        <v>16</v>
      </c>
      <c r="V6">
        <v>135.26546071417329</v>
      </c>
      <c r="W6">
        <v>165.86085191862429</v>
      </c>
      <c r="X6">
        <v>388.00175915617001</v>
      </c>
      <c r="Y6">
        <v>438.23104266329898</v>
      </c>
      <c r="Z6">
        <v>261.46750071133528</v>
      </c>
      <c r="AA6">
        <v>427.19693429841828</v>
      </c>
      <c r="AB6">
        <v>477.39233609063956</v>
      </c>
      <c r="AC6">
        <v>416.51081564240923</v>
      </c>
      <c r="AD6">
        <v>176.30011475804844</v>
      </c>
      <c r="AE6">
        <v>356.71271254590044</v>
      </c>
      <c r="AF6">
        <v>584.18880256894454</v>
      </c>
      <c r="AG6">
        <v>311.87132547039067</v>
      </c>
      <c r="AH6">
        <v>504.0379694838295</v>
      </c>
      <c r="AI6">
        <v>271.67700258735971</v>
      </c>
      <c r="AJ6">
        <v>17.137688185767239</v>
      </c>
      <c r="AK6">
        <v>82.936959393795121</v>
      </c>
      <c r="AL6">
        <v>547.37003251603926</v>
      </c>
      <c r="AM6">
        <v>348.94955197713057</v>
      </c>
      <c r="AO6" s="1">
        <v>16</v>
      </c>
      <c r="AP6" s="1">
        <v>161.16332448850397</v>
      </c>
      <c r="AQ6" s="1">
        <v>216.76041730927858</v>
      </c>
      <c r="AR6" s="1">
        <v>450.43844108711698</v>
      </c>
      <c r="AS6" s="1">
        <v>599.70436919307258</v>
      </c>
      <c r="AT6" s="1">
        <v>300.41094798792761</v>
      </c>
      <c r="AU6" s="1">
        <v>501.62406297767797</v>
      </c>
      <c r="AV6" s="1">
        <v>588.54592674891376</v>
      </c>
      <c r="AW6" s="1">
        <v>510.06220253283612</v>
      </c>
      <c r="AX6" s="1">
        <v>220.357746008155</v>
      </c>
      <c r="AY6" s="1">
        <v>427.19439132462276</v>
      </c>
      <c r="AZ6" s="1">
        <v>731.20311955790953</v>
      </c>
      <c r="BA6" s="1">
        <v>384.71875959409641</v>
      </c>
      <c r="BB6" s="1">
        <v>573.98112735926168</v>
      </c>
      <c r="BC6" s="1">
        <v>349.46784640308738</v>
      </c>
      <c r="BD6" s="1">
        <v>9.9247313291280292</v>
      </c>
      <c r="BE6" s="1">
        <v>98.843363627499144</v>
      </c>
      <c r="BF6" s="1">
        <v>715.92455118243424</v>
      </c>
      <c r="BG6" s="1">
        <v>382.46693388790897</v>
      </c>
    </row>
    <row r="7" spans="1:59" x14ac:dyDescent="0.25">
      <c r="A7">
        <v>20</v>
      </c>
      <c r="B7">
        <v>204.89178279539212</v>
      </c>
      <c r="C7">
        <v>258.35216914948165</v>
      </c>
      <c r="D7">
        <v>496.31482526354728</v>
      </c>
      <c r="E7">
        <v>657.84662408295492</v>
      </c>
      <c r="F7">
        <v>351.8367511418665</v>
      </c>
      <c r="G7">
        <v>538.25484927836112</v>
      </c>
      <c r="H7">
        <v>629.53905933464262</v>
      </c>
      <c r="I7">
        <v>558.8646984445794</v>
      </c>
      <c r="J7">
        <v>266.98538648983401</v>
      </c>
      <c r="K7">
        <v>484.08151977639784</v>
      </c>
      <c r="L7">
        <v>776.2751705155722</v>
      </c>
      <c r="M7">
        <v>414.92334693754918</v>
      </c>
      <c r="N7">
        <v>608.11684949510914</v>
      </c>
      <c r="O7">
        <v>412.73303612634822</v>
      </c>
      <c r="P7">
        <v>15.276534044607413</v>
      </c>
      <c r="Q7">
        <v>122.53453679896215</v>
      </c>
      <c r="R7">
        <v>764.17632319328402</v>
      </c>
      <c r="S7">
        <v>441.21953918162063</v>
      </c>
      <c r="U7">
        <v>20</v>
      </c>
      <c r="V7">
        <v>161.3277775817225</v>
      </c>
      <c r="W7">
        <v>198.29711701853054</v>
      </c>
      <c r="X7">
        <v>423.73260252070065</v>
      </c>
      <c r="Y7">
        <v>471.31772714074776</v>
      </c>
      <c r="Z7">
        <v>284.39727406615913</v>
      </c>
      <c r="AA7">
        <v>454.79426618059307</v>
      </c>
      <c r="AB7">
        <v>499.73769490501536</v>
      </c>
      <c r="AC7">
        <v>450.05815960183577</v>
      </c>
      <c r="AD7">
        <v>203.1228196800912</v>
      </c>
      <c r="AE7">
        <v>396.3149557428352</v>
      </c>
      <c r="AF7">
        <v>624.4657898985472</v>
      </c>
      <c r="AG7">
        <v>331.87075744573718</v>
      </c>
      <c r="AH7">
        <v>532.90469372185828</v>
      </c>
      <c r="AI7">
        <v>312.38409223959832</v>
      </c>
      <c r="AJ7">
        <v>21.64058211354277</v>
      </c>
      <c r="AK7">
        <v>98.0382155318228</v>
      </c>
      <c r="AL7">
        <v>584.08193084260654</v>
      </c>
      <c r="AM7">
        <v>383.66856731609579</v>
      </c>
      <c r="AO7" s="1">
        <v>20</v>
      </c>
      <c r="AP7" s="1">
        <v>190.16184496597512</v>
      </c>
      <c r="AQ7" s="1">
        <v>253.32872628392877</v>
      </c>
      <c r="AR7" s="1">
        <v>487.9188081884343</v>
      </c>
      <c r="AS7" s="1">
        <v>637.75469738100378</v>
      </c>
      <c r="AT7" s="1">
        <v>328.73951083702542</v>
      </c>
      <c r="AU7" s="1">
        <v>533.54466940234272</v>
      </c>
      <c r="AV7" s="1">
        <v>614.64384823730245</v>
      </c>
      <c r="AW7" s="1">
        <v>540.07456402516209</v>
      </c>
      <c r="AX7" s="1">
        <v>249.02205544110484</v>
      </c>
      <c r="AY7" s="1">
        <v>461.07399635854733</v>
      </c>
      <c r="AZ7" s="1">
        <v>761.374865966112</v>
      </c>
      <c r="BA7" s="1">
        <v>404.32022355958674</v>
      </c>
      <c r="BB7" s="1">
        <v>598.65549166770813</v>
      </c>
      <c r="BC7" s="1">
        <v>394.57527925156751</v>
      </c>
      <c r="BD7" s="1">
        <v>14.677309269193421</v>
      </c>
      <c r="BE7" s="1">
        <v>118.78864188758594</v>
      </c>
      <c r="BF7" s="1">
        <v>748.84001189915477</v>
      </c>
      <c r="BG7" s="1">
        <v>416.04256779894018</v>
      </c>
    </row>
    <row r="8" spans="1:59" x14ac:dyDescent="0.25">
      <c r="A8">
        <v>30</v>
      </c>
      <c r="B8">
        <v>265.58759401124064</v>
      </c>
      <c r="C8">
        <v>345.23261027406937</v>
      </c>
      <c r="D8">
        <v>577.38966804533914</v>
      </c>
      <c r="E8">
        <v>744.73681357892167</v>
      </c>
      <c r="F8">
        <v>431.36951675522715</v>
      </c>
      <c r="G8">
        <v>613.19737117129591</v>
      </c>
      <c r="H8">
        <v>691.74495154952797</v>
      </c>
      <c r="I8">
        <v>638.49435034237843</v>
      </c>
      <c r="J8">
        <v>350.21608808738415</v>
      </c>
      <c r="K8">
        <v>571.50435579579323</v>
      </c>
      <c r="L8">
        <v>849.54897597441811</v>
      </c>
      <c r="M8">
        <v>467.61070341376865</v>
      </c>
      <c r="N8">
        <v>708.48142711141372</v>
      </c>
      <c r="O8">
        <v>517.63042506752163</v>
      </c>
      <c r="P8">
        <v>25.953996020286866</v>
      </c>
      <c r="Q8">
        <v>175.90969752014681</v>
      </c>
      <c r="R8">
        <v>843.12696376354972</v>
      </c>
      <c r="S8">
        <v>537.77936088911088</v>
      </c>
      <c r="U8">
        <v>30</v>
      </c>
      <c r="V8">
        <v>228.03393810858873</v>
      </c>
      <c r="W8">
        <v>281.06571734801133</v>
      </c>
      <c r="X8">
        <v>508.15363281083728</v>
      </c>
      <c r="Y8">
        <v>571.60437820091249</v>
      </c>
      <c r="Z8">
        <v>351.17594218140732</v>
      </c>
      <c r="AA8">
        <v>527.75370578827153</v>
      </c>
      <c r="AB8">
        <v>560.11939050025558</v>
      </c>
      <c r="AC8">
        <v>527.14386498406668</v>
      </c>
      <c r="AD8">
        <v>286.18249082716846</v>
      </c>
      <c r="AE8">
        <v>491.25579489239118</v>
      </c>
      <c r="AF8">
        <v>725.41688969881227</v>
      </c>
      <c r="AG8">
        <v>388.43516572954195</v>
      </c>
      <c r="AH8">
        <v>611.88461228070776</v>
      </c>
      <c r="AI8">
        <v>424.00049088569915</v>
      </c>
      <c r="AJ8">
        <v>45.866117659380812</v>
      </c>
      <c r="AK8">
        <v>147.83470366363636</v>
      </c>
      <c r="AL8">
        <v>678.08736219904131</v>
      </c>
      <c r="AM8">
        <v>468.69583855522274</v>
      </c>
      <c r="AO8" s="1">
        <v>30</v>
      </c>
      <c r="AP8" s="1">
        <v>251.93636045892239</v>
      </c>
      <c r="AQ8" s="1">
        <v>338.63286592956803</v>
      </c>
      <c r="AR8" s="1">
        <v>564.85854062882981</v>
      </c>
      <c r="AS8" s="1">
        <v>721.05534917034561</v>
      </c>
      <c r="AT8" s="1">
        <v>407.77049566396323</v>
      </c>
      <c r="AU8" s="1">
        <v>607.43003655821019</v>
      </c>
      <c r="AV8" s="1">
        <v>671.97013781976102</v>
      </c>
      <c r="AW8" s="1">
        <v>620.71385122030472</v>
      </c>
      <c r="AX8" s="1">
        <v>330.62024450458756</v>
      </c>
      <c r="AY8" s="1">
        <v>551.86534864486566</v>
      </c>
      <c r="AZ8" s="1">
        <v>839.64467059294475</v>
      </c>
      <c r="BA8" s="1">
        <v>458.90190180330637</v>
      </c>
      <c r="BB8" s="1">
        <v>691.00420026284587</v>
      </c>
      <c r="BC8" s="1">
        <v>497.29030324329881</v>
      </c>
      <c r="BD8" s="1">
        <v>24.863587512559622</v>
      </c>
      <c r="BE8" s="1">
        <v>170.27481364831431</v>
      </c>
      <c r="BF8" s="1">
        <v>833.91650039703359</v>
      </c>
      <c r="BG8" s="1">
        <v>509.16852286787849</v>
      </c>
    </row>
    <row r="9" spans="1:59" x14ac:dyDescent="0.25">
      <c r="A9">
        <v>40</v>
      </c>
      <c r="B9">
        <v>350.34413682493596</v>
      </c>
      <c r="C9">
        <v>424.25014941142325</v>
      </c>
      <c r="D9">
        <v>659.66567307745493</v>
      </c>
      <c r="E9">
        <v>828.92075724072083</v>
      </c>
      <c r="F9">
        <v>494.24747345556028</v>
      </c>
      <c r="G9">
        <v>678.9541201588122</v>
      </c>
      <c r="H9">
        <v>767.19429922918687</v>
      </c>
      <c r="I9">
        <v>714.33981585774052</v>
      </c>
      <c r="J9">
        <v>439.44038587376798</v>
      </c>
      <c r="K9">
        <v>645.36052417996336</v>
      </c>
      <c r="L9">
        <v>915.06361830829826</v>
      </c>
      <c r="M9">
        <v>520.57112296506943</v>
      </c>
      <c r="N9">
        <v>842.55760039369875</v>
      </c>
      <c r="O9">
        <v>620.88255161556651</v>
      </c>
      <c r="P9">
        <v>56.106930603435885</v>
      </c>
      <c r="Q9">
        <v>247.72987782387688</v>
      </c>
      <c r="R9">
        <v>916.06532829126832</v>
      </c>
      <c r="S9">
        <v>638.42943251848328</v>
      </c>
      <c r="U9">
        <v>40</v>
      </c>
      <c r="V9">
        <v>290.63292076104324</v>
      </c>
      <c r="W9">
        <v>354.04996518328784</v>
      </c>
      <c r="X9">
        <v>573.77364401413968</v>
      </c>
      <c r="Y9">
        <v>661.73783487833634</v>
      </c>
      <c r="Z9">
        <v>418.8506810385141</v>
      </c>
      <c r="AA9">
        <v>592.12766375937713</v>
      </c>
      <c r="AB9">
        <v>622.80948894404673</v>
      </c>
      <c r="AC9">
        <v>600.82789531028186</v>
      </c>
      <c r="AD9">
        <v>364.75247439588247</v>
      </c>
      <c r="AE9">
        <v>565.7549159278168</v>
      </c>
      <c r="AF9">
        <v>798.96517706522422</v>
      </c>
      <c r="AG9">
        <v>435.48104375493472</v>
      </c>
      <c r="AH9">
        <v>710.84188745385268</v>
      </c>
      <c r="AI9">
        <v>515.7412779854202</v>
      </c>
      <c r="AJ9">
        <v>75.60308118412695</v>
      </c>
      <c r="AK9">
        <v>204.75631595524649</v>
      </c>
      <c r="AL9">
        <v>754.07561346498505</v>
      </c>
      <c r="AM9">
        <v>549.64272442757715</v>
      </c>
      <c r="AO9" s="1">
        <v>40</v>
      </c>
      <c r="AP9" s="1">
        <v>321.9859800049083</v>
      </c>
      <c r="AQ9" s="1">
        <v>410.84631987556492</v>
      </c>
      <c r="AR9" s="1">
        <v>634.66105331111305</v>
      </c>
      <c r="AS9" s="1">
        <v>799.11787395490626</v>
      </c>
      <c r="AT9" s="1">
        <v>469.62266951827831</v>
      </c>
      <c r="AU9" s="1">
        <v>661.57955359671325</v>
      </c>
      <c r="AV9" s="1">
        <v>745.83182336923392</v>
      </c>
      <c r="AW9" s="1">
        <v>694.27404622233644</v>
      </c>
      <c r="AX9" s="1">
        <v>407.27209445319392</v>
      </c>
      <c r="AY9" s="1">
        <v>619.49016325241951</v>
      </c>
      <c r="AZ9" s="1">
        <v>899.33341222547267</v>
      </c>
      <c r="BA9" s="1">
        <v>506.15514454454615</v>
      </c>
      <c r="BB9" s="1">
        <v>802.47469140748922</v>
      </c>
      <c r="BC9" s="1">
        <v>585.84761031449193</v>
      </c>
      <c r="BD9" s="1">
        <v>52.912316669043861</v>
      </c>
      <c r="BE9" s="1">
        <v>234.23110888702493</v>
      </c>
      <c r="BF9" s="1">
        <v>897.52951378264447</v>
      </c>
      <c r="BG9" s="1">
        <v>600.15286696279304</v>
      </c>
    </row>
    <row r="10" spans="1:59" x14ac:dyDescent="0.25">
      <c r="A10">
        <v>60</v>
      </c>
      <c r="B10">
        <v>471.52770794735375</v>
      </c>
      <c r="C10">
        <v>568.92057361867285</v>
      </c>
      <c r="D10">
        <v>785.7080031315204</v>
      </c>
      <c r="E10">
        <v>958.68074481695737</v>
      </c>
      <c r="F10">
        <v>599.683868356993</v>
      </c>
      <c r="G10">
        <v>782.84483553293683</v>
      </c>
      <c r="H10">
        <v>885.32199379025269</v>
      </c>
      <c r="I10">
        <v>839.6673888914836</v>
      </c>
      <c r="J10">
        <v>563.58749686868487</v>
      </c>
      <c r="K10">
        <v>768.48104089639469</v>
      </c>
      <c r="L10">
        <v>1009.3222457080435</v>
      </c>
      <c r="M10">
        <v>585.26919382624931</v>
      </c>
      <c r="N10">
        <v>1015.5343662667093</v>
      </c>
      <c r="O10">
        <v>792.4434814979852</v>
      </c>
      <c r="P10">
        <v>107.1597588693067</v>
      </c>
      <c r="Q10">
        <v>398.16095515839754</v>
      </c>
      <c r="R10">
        <v>1023.0646610782143</v>
      </c>
      <c r="S10">
        <v>767.23439614689312</v>
      </c>
      <c r="U10">
        <v>60</v>
      </c>
      <c r="V10">
        <v>420.52519261814206</v>
      </c>
      <c r="W10">
        <v>485.6564860985801</v>
      </c>
      <c r="X10">
        <v>718.24448322961177</v>
      </c>
      <c r="Y10">
        <v>817.29767081961995</v>
      </c>
      <c r="Z10">
        <v>532.8866534233224</v>
      </c>
      <c r="AA10">
        <v>711.83560259814226</v>
      </c>
      <c r="AB10">
        <v>748.62951446519446</v>
      </c>
      <c r="AC10">
        <v>742.82915751846986</v>
      </c>
      <c r="AD10">
        <v>495.51127014472769</v>
      </c>
      <c r="AE10">
        <v>704.68449635894558</v>
      </c>
      <c r="AF10">
        <v>928.5195943915727</v>
      </c>
      <c r="AG10">
        <v>517.47136698640224</v>
      </c>
      <c r="AH10">
        <v>889.86146532283738</v>
      </c>
      <c r="AI10">
        <v>702.07694308619466</v>
      </c>
      <c r="AJ10">
        <v>138.94696798947072</v>
      </c>
      <c r="AK10">
        <v>339.92964755054692</v>
      </c>
      <c r="AL10">
        <v>902.7923106301663</v>
      </c>
      <c r="AM10">
        <v>700.20773397169137</v>
      </c>
      <c r="AO10" s="1">
        <v>60</v>
      </c>
      <c r="AP10" s="1">
        <v>454.29966870697785</v>
      </c>
      <c r="AQ10" s="1">
        <v>556.5125711229706</v>
      </c>
      <c r="AR10" s="1">
        <v>774.6076685447307</v>
      </c>
      <c r="AS10" s="1">
        <v>947.2756009539188</v>
      </c>
      <c r="AT10" s="1">
        <v>580.72622598347277</v>
      </c>
      <c r="AU10" s="1">
        <v>773.41280234999329</v>
      </c>
      <c r="AV10" s="1">
        <v>865.35052394827039</v>
      </c>
      <c r="AW10" s="1">
        <v>828.67375923317024</v>
      </c>
      <c r="AX10" s="1">
        <v>544.8572427281448</v>
      </c>
      <c r="AY10" s="1">
        <v>753.32076920187694</v>
      </c>
      <c r="AZ10" s="1">
        <v>1005.0189557665368</v>
      </c>
      <c r="BA10" s="1">
        <v>582.26087051411093</v>
      </c>
      <c r="BB10" s="1">
        <v>994.27704253607772</v>
      </c>
      <c r="BC10" s="1">
        <v>778.46612657760818</v>
      </c>
      <c r="BD10" s="1">
        <v>107.1022081884981</v>
      </c>
      <c r="BE10" s="1">
        <v>384.65613897902784</v>
      </c>
      <c r="BF10" s="1">
        <v>1021.0568846574098</v>
      </c>
      <c r="BG10" s="1">
        <v>746.94819028586096</v>
      </c>
    </row>
    <row r="11" spans="1:59" x14ac:dyDescent="0.25">
      <c r="A11">
        <v>80</v>
      </c>
      <c r="B11">
        <v>596.85559753454663</v>
      </c>
      <c r="C11">
        <v>722.81718897165422</v>
      </c>
      <c r="D11">
        <v>896.54888018077361</v>
      </c>
      <c r="E11">
        <v>1071.5789767463086</v>
      </c>
      <c r="F11">
        <v>709.6066355196881</v>
      </c>
      <c r="G11">
        <v>866.64537498659854</v>
      </c>
      <c r="H11">
        <v>1001.7574283222956</v>
      </c>
      <c r="I11">
        <v>978.89682246532823</v>
      </c>
      <c r="J11">
        <v>678.0665539508791</v>
      </c>
      <c r="K11">
        <v>881.35065830685573</v>
      </c>
      <c r="L11">
        <v>1105.9824828761261</v>
      </c>
      <c r="M11">
        <v>640.41365970552806</v>
      </c>
      <c r="N11">
        <v>1147.3813744189754</v>
      </c>
      <c r="O11">
        <v>935.03548174177331</v>
      </c>
      <c r="P11">
        <v>165.73566108434781</v>
      </c>
      <c r="Q11">
        <v>553.97434164816093</v>
      </c>
      <c r="R11">
        <v>1123.7354744951233</v>
      </c>
      <c r="S11">
        <v>919.29885849166408</v>
      </c>
      <c r="U11">
        <v>80</v>
      </c>
      <c r="V11">
        <v>545.98111438326657</v>
      </c>
      <c r="W11">
        <v>627.82342918675192</v>
      </c>
      <c r="X11">
        <v>842.12028740636765</v>
      </c>
      <c r="Y11">
        <v>955.64197508825612</v>
      </c>
      <c r="Z11">
        <v>647.93701794732476</v>
      </c>
      <c r="AA11">
        <v>815.02029903049811</v>
      </c>
      <c r="AB11">
        <v>861.40844234899851</v>
      </c>
      <c r="AC11">
        <v>890.82419718312349</v>
      </c>
      <c r="AD11">
        <v>625.60828440210514</v>
      </c>
      <c r="AE11">
        <v>834.26924384959773</v>
      </c>
      <c r="AF11">
        <v>1046.2685761228934</v>
      </c>
      <c r="AG11">
        <v>585.95247152730076</v>
      </c>
      <c r="AH11">
        <v>1013.1923774038402</v>
      </c>
      <c r="AI11">
        <v>858.23621599301066</v>
      </c>
      <c r="AJ11">
        <v>189.15195017880458</v>
      </c>
      <c r="AK11">
        <v>481.14341541229493</v>
      </c>
      <c r="AL11">
        <v>1022.7852244893467</v>
      </c>
      <c r="AM11">
        <v>848.68589180832714</v>
      </c>
      <c r="AO11" s="1">
        <v>40</v>
      </c>
      <c r="AP11" s="1">
        <v>361.25317131562593</v>
      </c>
      <c r="AQ11" s="1">
        <v>440.65239719522714</v>
      </c>
      <c r="AR11" s="1">
        <v>677.84754724032928</v>
      </c>
      <c r="AS11" s="1">
        <v>852.45334420614518</v>
      </c>
      <c r="AT11" s="1">
        <v>507.02861142511915</v>
      </c>
      <c r="AU11" s="1">
        <v>704.1414108894686</v>
      </c>
      <c r="AV11" s="1">
        <v>768.81155009643987</v>
      </c>
      <c r="AW11" s="1">
        <v>730.61725681893643</v>
      </c>
      <c r="AX11" s="1">
        <v>442.60097446505426</v>
      </c>
      <c r="AY11" s="1">
        <v>663.71127620364393</v>
      </c>
      <c r="AZ11" s="1">
        <v>936.40315421408934</v>
      </c>
      <c r="BA11" s="1">
        <v>533.19522659629945</v>
      </c>
      <c r="BB11" s="1">
        <v>852.45334420614518</v>
      </c>
      <c r="BC11" s="1">
        <v>644.49684844032868</v>
      </c>
      <c r="BD11" s="1">
        <v>59.624785183802835</v>
      </c>
      <c r="BE11" s="1">
        <v>255.47964762456147</v>
      </c>
      <c r="BF11" s="1">
        <v>941.94444527974827</v>
      </c>
      <c r="BG11" s="1">
        <v>661.54672559550602</v>
      </c>
    </row>
    <row r="12" spans="1:59" x14ac:dyDescent="0.25">
      <c r="A12">
        <v>100</v>
      </c>
      <c r="B12">
        <v>720.69842922324619</v>
      </c>
      <c r="C12">
        <v>848.35047932239263</v>
      </c>
      <c r="D12">
        <v>1009.3576728334044</v>
      </c>
      <c r="E12">
        <v>1173.5757487577634</v>
      </c>
      <c r="F12">
        <v>810.81558409725551</v>
      </c>
      <c r="G12">
        <v>940.32202712282105</v>
      </c>
      <c r="H12">
        <v>1119.3609534599295</v>
      </c>
      <c r="I12">
        <v>1102.9744056244426</v>
      </c>
      <c r="J12">
        <v>810.5442920411981</v>
      </c>
      <c r="K12">
        <v>988.57713882878943</v>
      </c>
      <c r="L12">
        <v>1202.5814908257057</v>
      </c>
      <c r="M12">
        <v>693.19553454853519</v>
      </c>
      <c r="N12">
        <v>1272.1389661569901</v>
      </c>
      <c r="O12">
        <v>1088.453467390528</v>
      </c>
      <c r="P12">
        <v>212.99840731394889</v>
      </c>
      <c r="Q12">
        <v>704.43685468444767</v>
      </c>
      <c r="R12">
        <v>1221.3889474564025</v>
      </c>
      <c r="S12">
        <v>1042.7226858878917</v>
      </c>
      <c r="U12">
        <v>100</v>
      </c>
      <c r="V12">
        <v>669.31536468414572</v>
      </c>
      <c r="W12">
        <v>750.91350338142161</v>
      </c>
      <c r="X12">
        <v>952.34657990658275</v>
      </c>
      <c r="Y12">
        <v>1069.0037307191362</v>
      </c>
      <c r="Z12">
        <v>747.06016247823277</v>
      </c>
      <c r="AA12">
        <v>886.0551393343743</v>
      </c>
      <c r="AB12">
        <v>978.21519413567319</v>
      </c>
      <c r="AC12">
        <v>1022.2234159973618</v>
      </c>
      <c r="AD12">
        <v>744.50030324380737</v>
      </c>
      <c r="AE12">
        <v>950.76294273379835</v>
      </c>
      <c r="AF12">
        <v>1148.5498401371792</v>
      </c>
      <c r="AG12">
        <v>647.52951217749205</v>
      </c>
      <c r="AH12">
        <v>1128.1509617106337</v>
      </c>
      <c r="AI12">
        <v>1004.6433306668262</v>
      </c>
      <c r="AJ12">
        <v>223.24420069374835</v>
      </c>
      <c r="AK12">
        <v>627.74801445044716</v>
      </c>
      <c r="AL12">
        <v>1134.35068846131</v>
      </c>
      <c r="AM12">
        <v>984.19840328808539</v>
      </c>
      <c r="AO12" s="1">
        <v>30</v>
      </c>
      <c r="AP12" s="1">
        <v>284.05701915053021</v>
      </c>
      <c r="AQ12" s="1">
        <v>376.7067380779821</v>
      </c>
      <c r="AR12" s="1">
        <v>608.15436739318739</v>
      </c>
      <c r="AS12" s="1">
        <v>790.24352690297758</v>
      </c>
      <c r="AT12" s="1">
        <v>455.37140367802436</v>
      </c>
      <c r="AU12" s="1">
        <v>656.69411231263666</v>
      </c>
      <c r="AV12" s="1">
        <v>701.59890930609583</v>
      </c>
      <c r="AW12" s="1">
        <v>671.21947283844599</v>
      </c>
      <c r="AX12" s="1">
        <v>367.73985494553489</v>
      </c>
      <c r="AY12" s="1">
        <v>607.7854509247851</v>
      </c>
      <c r="AZ12" s="1">
        <v>891.62407261434635</v>
      </c>
      <c r="BA12" s="1">
        <v>499.12412156472823</v>
      </c>
      <c r="BB12" s="1">
        <v>732.56114991880418</v>
      </c>
      <c r="BC12" s="1">
        <v>546.2963413907504</v>
      </c>
      <c r="BD12" s="1">
        <v>27.980459992836504</v>
      </c>
      <c r="BE12" s="1">
        <v>184.93722729866994</v>
      </c>
      <c r="BF12" s="1">
        <v>886.25952490210841</v>
      </c>
      <c r="BG12" s="1">
        <v>586.88595925383072</v>
      </c>
    </row>
    <row r="13" spans="1:59" x14ac:dyDescent="0.25">
      <c r="A13">
        <v>80</v>
      </c>
      <c r="B13">
        <v>635.05478483883985</v>
      </c>
      <c r="C13">
        <v>767.00789872884127</v>
      </c>
      <c r="D13">
        <v>942.48644420290009</v>
      </c>
      <c r="E13">
        <v>1117.3888677974899</v>
      </c>
      <c r="F13">
        <v>751.74061590089855</v>
      </c>
      <c r="G13">
        <v>900.06397496365514</v>
      </c>
      <c r="H13">
        <v>1041.8068024863819</v>
      </c>
      <c r="I13">
        <v>1023.6304482163122</v>
      </c>
      <c r="J13">
        <v>722.37193645563877</v>
      </c>
      <c r="K13">
        <v>927.64878512459109</v>
      </c>
      <c r="L13">
        <v>1148.153715554633</v>
      </c>
      <c r="M13">
        <v>661.16673820745063</v>
      </c>
      <c r="N13">
        <v>1189.4436684019843</v>
      </c>
      <c r="O13">
        <v>996.18800946092085</v>
      </c>
      <c r="P13">
        <v>173.47378139210548</v>
      </c>
      <c r="Q13">
        <v>587.87985090129916</v>
      </c>
      <c r="R13">
        <v>1166.1273444364494</v>
      </c>
      <c r="S13">
        <v>975.22609810750851</v>
      </c>
      <c r="U13">
        <v>120</v>
      </c>
      <c r="V13">
        <v>784.05112055226675</v>
      </c>
      <c r="W13">
        <v>874.88661127791318</v>
      </c>
      <c r="X13">
        <v>1062.1751594466266</v>
      </c>
      <c r="Y13">
        <v>1183.2970920034327</v>
      </c>
      <c r="Z13">
        <v>855.6935051102505</v>
      </c>
      <c r="AA13">
        <v>981.74476445249684</v>
      </c>
      <c r="AB13">
        <v>1101.5276824794635</v>
      </c>
      <c r="AC13">
        <v>1152.7490334005631</v>
      </c>
      <c r="AD13">
        <v>863.88001050713876</v>
      </c>
      <c r="AE13">
        <v>1063.5440105995779</v>
      </c>
      <c r="AF13">
        <v>1248.3176654341262</v>
      </c>
      <c r="AG13">
        <v>717.27277657606942</v>
      </c>
      <c r="AH13">
        <v>1246.9505965892654</v>
      </c>
      <c r="AI13">
        <v>1142.6987901767061</v>
      </c>
      <c r="AJ13">
        <v>254.97453712296377</v>
      </c>
      <c r="AK13">
        <v>777.61585349496306</v>
      </c>
      <c r="AL13">
        <v>1239.9610976792299</v>
      </c>
      <c r="AM13">
        <v>1111.6902546248693</v>
      </c>
      <c r="AO13" s="1">
        <v>20</v>
      </c>
      <c r="AP13" s="1">
        <v>216.22732261735192</v>
      </c>
      <c r="AQ13" s="1">
        <v>288.90459702152748</v>
      </c>
      <c r="AR13" s="1">
        <v>522.76524302555401</v>
      </c>
      <c r="AS13" s="1">
        <v>716.03131594605884</v>
      </c>
      <c r="AT13" s="1">
        <v>379.12292060451682</v>
      </c>
      <c r="AU13" s="1">
        <v>591.09855335946133</v>
      </c>
      <c r="AV13" s="1">
        <v>634.92576292834588</v>
      </c>
      <c r="AW13" s="1">
        <v>590.22523218838614</v>
      </c>
      <c r="AX13" s="1">
        <v>273.90746618932423</v>
      </c>
      <c r="AY13" s="1">
        <v>529.87638297591275</v>
      </c>
      <c r="AZ13" s="1">
        <v>827.79537361228506</v>
      </c>
      <c r="BA13" s="1">
        <v>452.59708095165979</v>
      </c>
      <c r="BB13" s="1">
        <v>613.12214197327694</v>
      </c>
      <c r="BC13" s="1">
        <v>444.93771443844685</v>
      </c>
      <c r="BD13" s="1">
        <v>15.736516976902612</v>
      </c>
      <c r="BE13" s="1">
        <v>126.92068836708403</v>
      </c>
      <c r="BF13" s="1">
        <v>815.07512277617116</v>
      </c>
      <c r="BG13" s="1">
        <v>486.92632687432854</v>
      </c>
    </row>
    <row r="14" spans="1:59" x14ac:dyDescent="0.25">
      <c r="A14">
        <v>60</v>
      </c>
      <c r="B14">
        <v>529.04647587560737</v>
      </c>
      <c r="C14">
        <v>644.22873507268059</v>
      </c>
      <c r="D14">
        <v>841.34463874062351</v>
      </c>
      <c r="E14">
        <v>1034.4360815640462</v>
      </c>
      <c r="F14">
        <v>674.30753968539545</v>
      </c>
      <c r="G14">
        <v>836.6176189456055</v>
      </c>
      <c r="H14">
        <v>930.65432102344369</v>
      </c>
      <c r="I14">
        <v>914.63772840313902</v>
      </c>
      <c r="J14">
        <v>613.67350134450248</v>
      </c>
      <c r="K14">
        <v>834.63453867329883</v>
      </c>
      <c r="L14">
        <v>1068.2574736840977</v>
      </c>
      <c r="M14">
        <v>624.16226261332031</v>
      </c>
      <c r="N14">
        <v>1072.4167105105496</v>
      </c>
      <c r="O14">
        <v>850.67806865743114</v>
      </c>
      <c r="P14">
        <v>116.51288265739404</v>
      </c>
      <c r="Q14">
        <v>445.04012930680011</v>
      </c>
      <c r="R14">
        <v>1086.8441925975983</v>
      </c>
      <c r="S14">
        <v>852.50387428235433</v>
      </c>
      <c r="U14">
        <v>160</v>
      </c>
      <c r="V14">
        <v>1025.3256053872979</v>
      </c>
      <c r="W14">
        <v>1099.5873547824654</v>
      </c>
      <c r="X14">
        <v>1298.3136146640202</v>
      </c>
      <c r="Y14">
        <v>1388.0707789651838</v>
      </c>
      <c r="Z14">
        <v>1056.3770088563672</v>
      </c>
      <c r="AA14">
        <v>1150.6636748244987</v>
      </c>
      <c r="AB14">
        <v>1328.156610993793</v>
      </c>
      <c r="AC14">
        <v>1397.8702674278672</v>
      </c>
      <c r="AD14">
        <v>1104.2159264067675</v>
      </c>
      <c r="AE14">
        <v>1272.2587633487819</v>
      </c>
      <c r="AF14">
        <v>1418.2337890210858</v>
      </c>
      <c r="AG14">
        <v>839.82811348687972</v>
      </c>
      <c r="AH14">
        <v>1447.775398803873</v>
      </c>
      <c r="AI14">
        <v>1431.2186651769898</v>
      </c>
      <c r="AJ14">
        <v>328.34965447163933</v>
      </c>
      <c r="AK14">
        <v>1078.953022952122</v>
      </c>
      <c r="AL14">
        <v>1432.8437082838254</v>
      </c>
      <c r="AM14">
        <v>1361.631355601213</v>
      </c>
      <c r="AO14" s="1">
        <v>16</v>
      </c>
      <c r="AP14" s="1">
        <v>175.04099676700901</v>
      </c>
      <c r="AQ14" s="1">
        <v>240.05943091945068</v>
      </c>
      <c r="AR14" s="1">
        <v>480.9807078327338</v>
      </c>
      <c r="AS14" s="1">
        <v>678.55163104573319</v>
      </c>
      <c r="AT14" s="1">
        <v>335.41666237345498</v>
      </c>
      <c r="AU14" s="1">
        <v>555.42787104303943</v>
      </c>
      <c r="AV14" s="1">
        <v>599.45492889501634</v>
      </c>
      <c r="AW14" s="1">
        <v>549.58442768878967</v>
      </c>
      <c r="AX14" s="1">
        <v>226.21372999639391</v>
      </c>
      <c r="AY14" s="1">
        <v>480.27255552513816</v>
      </c>
      <c r="AZ14" s="1">
        <v>792.51468498464806</v>
      </c>
      <c r="BA14" s="1">
        <v>427.47554482838387</v>
      </c>
      <c r="BB14" s="1">
        <v>578.45123575737546</v>
      </c>
      <c r="BC14" s="1">
        <v>389.74794860480534</v>
      </c>
      <c r="BD14" s="1">
        <v>13.157128645874304</v>
      </c>
      <c r="BE14" s="1">
        <v>102.90452349449104</v>
      </c>
      <c r="BF14" s="1">
        <v>774.59993900998586</v>
      </c>
      <c r="BG14" s="1">
        <v>443.01959030632878</v>
      </c>
    </row>
    <row r="15" spans="1:59" x14ac:dyDescent="0.25">
      <c r="A15">
        <v>40</v>
      </c>
      <c r="B15">
        <v>378.86909092783037</v>
      </c>
      <c r="C15">
        <v>480.87405575548166</v>
      </c>
      <c r="D15">
        <v>713.01828703897024</v>
      </c>
      <c r="E15">
        <v>919.75955464760193</v>
      </c>
      <c r="F15">
        <v>533.91430167885824</v>
      </c>
      <c r="G15">
        <v>744.32744028551951</v>
      </c>
      <c r="H15">
        <v>807.28851272048712</v>
      </c>
      <c r="I15">
        <v>773.47873946021218</v>
      </c>
      <c r="J15">
        <v>450.9207921454647</v>
      </c>
      <c r="K15">
        <v>711.20532793538598</v>
      </c>
      <c r="L15">
        <v>978.39647997264331</v>
      </c>
      <c r="M15">
        <v>559.2230916675104</v>
      </c>
      <c r="N15">
        <v>896.73540822124789</v>
      </c>
      <c r="O15">
        <v>696.72781202291856</v>
      </c>
      <c r="P15">
        <v>57.413011984863488</v>
      </c>
      <c r="Q15">
        <v>287.26088684560898</v>
      </c>
      <c r="R15">
        <v>980.87224231658865</v>
      </c>
      <c r="S15">
        <v>713.92444316755268</v>
      </c>
      <c r="U15">
        <v>200</v>
      </c>
      <c r="V15">
        <v>1222.531592583772</v>
      </c>
      <c r="W15">
        <v>1288.5089049002781</v>
      </c>
      <c r="X15">
        <v>1533.0195899532121</v>
      </c>
      <c r="Y15">
        <v>1538.0039849161874</v>
      </c>
      <c r="Z15">
        <v>1230.7769474673694</v>
      </c>
      <c r="AA15">
        <v>1295.9785021671842</v>
      </c>
      <c r="AB15">
        <v>1538.1136750592564</v>
      </c>
      <c r="AC15">
        <v>1591.9724010681477</v>
      </c>
      <c r="AD15">
        <v>1333.2521476853083</v>
      </c>
      <c r="AE15">
        <v>1446.1516214013686</v>
      </c>
      <c r="AF15">
        <v>1558.1272825929873</v>
      </c>
      <c r="AG15">
        <v>941.1591905919405</v>
      </c>
      <c r="AH15">
        <v>1629.4740743236305</v>
      </c>
      <c r="AI15">
        <v>1669.4967693153915</v>
      </c>
      <c r="AJ15">
        <v>412.77886893173707</v>
      </c>
      <c r="AK15">
        <v>1351.5978079851143</v>
      </c>
      <c r="AL15">
        <v>1596.1516351998432</v>
      </c>
      <c r="AM15">
        <v>1571.9581108427815</v>
      </c>
      <c r="AO15" s="1">
        <v>12</v>
      </c>
      <c r="AP15" s="1">
        <v>134.78421801053193</v>
      </c>
      <c r="AQ15" s="1">
        <v>196.18675619002281</v>
      </c>
      <c r="AR15" s="1">
        <v>441.10552862515993</v>
      </c>
      <c r="AS15" s="1">
        <v>639.49339653763025</v>
      </c>
      <c r="AT15" s="1">
        <v>295.56006782163377</v>
      </c>
      <c r="AU15" s="1">
        <v>524.20208886791636</v>
      </c>
      <c r="AV15" s="1">
        <v>568.940348600731</v>
      </c>
      <c r="AW15" s="1">
        <v>516.04590842049936</v>
      </c>
      <c r="AX15" s="1">
        <v>197.13815905836924</v>
      </c>
      <c r="AY15" s="1">
        <v>439.89630157685764</v>
      </c>
      <c r="AZ15" s="1">
        <v>759.0665390934746</v>
      </c>
      <c r="BA15" s="1">
        <v>405.1772618421125</v>
      </c>
      <c r="BB15" s="1">
        <v>548.82336760178555</v>
      </c>
      <c r="BC15" s="1">
        <v>338.77859777534167</v>
      </c>
      <c r="BD15" s="1">
        <v>9.4544740947459864</v>
      </c>
      <c r="BE15" s="1">
        <v>78.536270267146051</v>
      </c>
      <c r="BF15" s="1">
        <v>741.60031033633265</v>
      </c>
      <c r="BG15" s="1">
        <v>403.44809521376072</v>
      </c>
    </row>
    <row r="16" spans="1:59" x14ac:dyDescent="0.25">
      <c r="A16">
        <v>30</v>
      </c>
      <c r="B16">
        <v>296.0618433393235</v>
      </c>
      <c r="C16">
        <v>397.79743936897398</v>
      </c>
      <c r="D16">
        <v>632.67208944087406</v>
      </c>
      <c r="E16">
        <v>845.24876360564053</v>
      </c>
      <c r="F16">
        <v>476.24711427773155</v>
      </c>
      <c r="G16">
        <v>684.90283469490703</v>
      </c>
      <c r="H16">
        <v>734.87930774359154</v>
      </c>
      <c r="I16">
        <v>707.91938999541162</v>
      </c>
      <c r="J16">
        <v>372.84633089349211</v>
      </c>
      <c r="K16">
        <v>640.26583770690979</v>
      </c>
      <c r="L16">
        <v>921.00036766218466</v>
      </c>
      <c r="M16">
        <v>522.35971339312346</v>
      </c>
      <c r="N16">
        <v>767.2533290252403</v>
      </c>
      <c r="O16">
        <v>570.98384897320898</v>
      </c>
      <c r="P16">
        <v>26.429242891129206</v>
      </c>
      <c r="Q16">
        <v>211.89071486942316</v>
      </c>
      <c r="R16">
        <v>919.95937550749352</v>
      </c>
      <c r="S16">
        <v>637.35312017794308</v>
      </c>
      <c r="U16">
        <v>160</v>
      </c>
      <c r="V16">
        <v>1118.1217803031791</v>
      </c>
      <c r="W16">
        <v>1190.0732247161134</v>
      </c>
      <c r="X16">
        <v>1405.1222061286828</v>
      </c>
      <c r="Y16">
        <v>1485.8936470255244</v>
      </c>
      <c r="Z16">
        <v>1149.3428348961145</v>
      </c>
      <c r="AA16">
        <v>1242.7130200914278</v>
      </c>
      <c r="AB16">
        <v>1415.412381724389</v>
      </c>
      <c r="AC16">
        <v>1492.531453536137</v>
      </c>
      <c r="AD16">
        <v>1192.3977496205755</v>
      </c>
      <c r="AE16">
        <v>1358.8148800517151</v>
      </c>
      <c r="AF16">
        <v>1495.3581072087559</v>
      </c>
      <c r="AG16">
        <v>896.45818548559123</v>
      </c>
      <c r="AH16">
        <v>1524.0190298277564</v>
      </c>
      <c r="AI16">
        <v>1537.6660038591008</v>
      </c>
      <c r="AJ16">
        <v>352.34804168249661</v>
      </c>
      <c r="AK16">
        <v>1189.8194794539975</v>
      </c>
      <c r="AL16">
        <v>1524.1816164787995</v>
      </c>
      <c r="AM16">
        <v>1479.2331068440997</v>
      </c>
      <c r="AO16" s="1">
        <v>8</v>
      </c>
      <c r="AP16" s="1">
        <v>99.420199793409708</v>
      </c>
      <c r="AQ16" s="1">
        <v>141.69057510222288</v>
      </c>
      <c r="AR16" s="1">
        <v>399.05217804995306</v>
      </c>
      <c r="AS16" s="1">
        <v>591.45915247134815</v>
      </c>
      <c r="AT16" s="1">
        <v>254.01761742858378</v>
      </c>
      <c r="AU16" s="1">
        <v>486.06862851865714</v>
      </c>
      <c r="AV16" s="1">
        <v>531.13629669988075</v>
      </c>
      <c r="AW16" s="1">
        <v>466.00210088448182</v>
      </c>
      <c r="AX16" s="1">
        <v>162.89230406877448</v>
      </c>
      <c r="AY16" s="1">
        <v>385.1345491068148</v>
      </c>
      <c r="AZ16" s="1">
        <v>711.61951891373178</v>
      </c>
      <c r="BA16" s="1">
        <v>374.07133706014054</v>
      </c>
      <c r="BB16" s="1">
        <v>531.70500412374531</v>
      </c>
      <c r="BC16" s="1">
        <v>264.66781721214267</v>
      </c>
      <c r="BD16" s="1">
        <v>3.6738307070132046</v>
      </c>
      <c r="BE16" s="1">
        <v>53.516468668341744</v>
      </c>
      <c r="BF16" s="1">
        <v>696.58483004823836</v>
      </c>
      <c r="BG16" s="1">
        <v>342.63616277080735</v>
      </c>
    </row>
    <row r="17" spans="1:59" x14ac:dyDescent="0.25">
      <c r="A17">
        <v>20</v>
      </c>
      <c r="B17">
        <v>206.44428584088337</v>
      </c>
      <c r="C17">
        <v>299.49443192143781</v>
      </c>
      <c r="D17">
        <v>533.13049489849664</v>
      </c>
      <c r="E17">
        <v>755.42774876184126</v>
      </c>
      <c r="F17">
        <v>384.62838719822935</v>
      </c>
      <c r="G17">
        <v>610.93813325576912</v>
      </c>
      <c r="H17">
        <v>648.06534194113419</v>
      </c>
      <c r="I17">
        <v>612.99347214813724</v>
      </c>
      <c r="J17">
        <v>265.33058694978263</v>
      </c>
      <c r="K17">
        <v>551.1563464870195</v>
      </c>
      <c r="L17">
        <v>851.86043417797441</v>
      </c>
      <c r="M17">
        <v>471.93815470138418</v>
      </c>
      <c r="N17">
        <v>620.39222770951721</v>
      </c>
      <c r="O17">
        <v>451.64165629582459</v>
      </c>
      <c r="P17">
        <v>14.987593919085295</v>
      </c>
      <c r="Q17">
        <v>138.88778898382671</v>
      </c>
      <c r="R17">
        <v>839.08941992555015</v>
      </c>
      <c r="S17">
        <v>516.30069211111288</v>
      </c>
      <c r="U17">
        <v>120</v>
      </c>
      <c r="V17">
        <v>912.93805401747022</v>
      </c>
      <c r="W17">
        <v>1039.5903694574779</v>
      </c>
      <c r="X17">
        <v>1222.6315234251408</v>
      </c>
      <c r="Y17">
        <v>1379.6713036407996</v>
      </c>
      <c r="Z17">
        <v>1005.2129224673104</v>
      </c>
      <c r="AA17">
        <v>1143.3889205585292</v>
      </c>
      <c r="AB17">
        <v>1259.8243869765133</v>
      </c>
      <c r="AC17">
        <v>1326.4134366566775</v>
      </c>
      <c r="AD17">
        <v>968.94690190809627</v>
      </c>
      <c r="AE17">
        <v>1214.7556837975089</v>
      </c>
      <c r="AF17">
        <v>1391.0348365727316</v>
      </c>
      <c r="AG17">
        <v>827.02049145106355</v>
      </c>
      <c r="AH17">
        <v>1354.4088907917767</v>
      </c>
      <c r="AI17">
        <v>1310.3349104684237</v>
      </c>
      <c r="AJ17">
        <v>282.92681987436151</v>
      </c>
      <c r="AK17">
        <v>930.10431904927134</v>
      </c>
      <c r="AL17">
        <v>1410.4742053671159</v>
      </c>
      <c r="AM17">
        <v>1302.5932098629878</v>
      </c>
      <c r="AO17" s="1">
        <v>4</v>
      </c>
      <c r="AP17" s="1">
        <v>63.203335308008526</v>
      </c>
      <c r="AQ17" s="1">
        <v>107.8905570875842</v>
      </c>
      <c r="AR17" s="1">
        <v>352.42050781368977</v>
      </c>
      <c r="AS17" s="1">
        <v>540.45481123293143</v>
      </c>
      <c r="AT17" s="1">
        <v>207.87082818031834</v>
      </c>
      <c r="AU17" s="1">
        <v>444.95484190747084</v>
      </c>
      <c r="AV17" s="1">
        <v>505.15882594848597</v>
      </c>
      <c r="AW17" s="1">
        <v>423.43429018846712</v>
      </c>
      <c r="AX17" s="1">
        <v>123.42300593573596</v>
      </c>
      <c r="AY17" s="1">
        <v>331.21934413276762</v>
      </c>
      <c r="AZ17" s="1">
        <v>664.54026261501497</v>
      </c>
      <c r="BA17" s="1">
        <v>340.72387957283951</v>
      </c>
      <c r="BB17" s="1">
        <v>511.34334842646024</v>
      </c>
      <c r="BC17" s="1">
        <v>202.56069073934384</v>
      </c>
      <c r="BD17" s="1">
        <v>2.9778683288529759</v>
      </c>
      <c r="BE17" s="1">
        <v>31.336907217309168</v>
      </c>
      <c r="BF17" s="1">
        <v>653.4437854387686</v>
      </c>
      <c r="BG17" s="1">
        <v>282.04721683742355</v>
      </c>
    </row>
    <row r="18" spans="1:59" x14ac:dyDescent="0.25">
      <c r="A18">
        <v>16</v>
      </c>
      <c r="B18">
        <v>167.39941783280193</v>
      </c>
      <c r="C18">
        <v>253.97273285275992</v>
      </c>
      <c r="D18">
        <v>493.09496834254821</v>
      </c>
      <c r="E18">
        <v>716.66939077318625</v>
      </c>
      <c r="F18">
        <v>339.37001107621921</v>
      </c>
      <c r="G18">
        <v>577.21496119455685</v>
      </c>
      <c r="H18">
        <v>622.06993158035289</v>
      </c>
      <c r="I18">
        <v>574.11359944185597</v>
      </c>
      <c r="J18">
        <v>224.22556813728221</v>
      </c>
      <c r="K18">
        <v>509.25293100007019</v>
      </c>
      <c r="L18">
        <v>821.52283496053917</v>
      </c>
      <c r="M18">
        <v>447.14098399771336</v>
      </c>
      <c r="N18">
        <v>587.82418849104442</v>
      </c>
      <c r="O18">
        <v>400.09558966631823</v>
      </c>
      <c r="P18">
        <v>11.324233082031597</v>
      </c>
      <c r="Q18">
        <v>116.1606440642888</v>
      </c>
      <c r="R18">
        <v>801.4861499529402</v>
      </c>
      <c r="S18">
        <v>466.83683797907219</v>
      </c>
      <c r="U18">
        <v>100</v>
      </c>
      <c r="V18">
        <v>790.97377069160223</v>
      </c>
      <c r="W18">
        <v>936.32400270122503</v>
      </c>
      <c r="X18">
        <v>1120.9503236990138</v>
      </c>
      <c r="Y18">
        <v>1304.1442221053076</v>
      </c>
      <c r="Z18">
        <v>910.52337856843019</v>
      </c>
      <c r="AA18">
        <v>1070.999747443072</v>
      </c>
      <c r="AB18">
        <v>1154.0786158078627</v>
      </c>
      <c r="AC18">
        <v>1199.2274889925338</v>
      </c>
      <c r="AD18">
        <v>840.26464300044461</v>
      </c>
      <c r="AE18">
        <v>1115.4959696654071</v>
      </c>
      <c r="AF18">
        <v>1324.9369399433235</v>
      </c>
      <c r="AG18">
        <v>774.82747033252804</v>
      </c>
      <c r="AH18">
        <v>1242.621296614323</v>
      </c>
      <c r="AI18">
        <v>1178.9378824741323</v>
      </c>
      <c r="AJ18">
        <v>241.70861566479084</v>
      </c>
      <c r="AK18">
        <v>783.4554382075778</v>
      </c>
      <c r="AL18">
        <v>1334.2047503887604</v>
      </c>
      <c r="AM18">
        <v>1185.5195284260551</v>
      </c>
      <c r="AO18" s="1">
        <v>0</v>
      </c>
      <c r="AP18" s="1">
        <v>22.082763659187194</v>
      </c>
      <c r="AQ18" s="1">
        <v>67.468857792158488</v>
      </c>
      <c r="AR18" s="1">
        <v>295.53841737766686</v>
      </c>
      <c r="AS18" s="1">
        <v>475.52197646028003</v>
      </c>
      <c r="AT18" s="1">
        <v>159.0835669914091</v>
      </c>
      <c r="AU18" s="1">
        <v>386.34295606195769</v>
      </c>
      <c r="AV18" s="1">
        <v>475.77761938166566</v>
      </c>
      <c r="AW18" s="1">
        <v>373.71093731183902</v>
      </c>
      <c r="AX18" s="1">
        <v>90.079411936536602</v>
      </c>
      <c r="AY18" s="1">
        <v>261.19581664904143</v>
      </c>
      <c r="AZ18" s="1">
        <v>607.38625052986629</v>
      </c>
      <c r="BA18" s="1">
        <v>299.28032754484377</v>
      </c>
      <c r="BB18" s="1">
        <v>499.14170612750848</v>
      </c>
      <c r="BC18" s="1">
        <v>135.13652420779101</v>
      </c>
      <c r="BD18" s="1">
        <v>2.9785116602287776</v>
      </c>
      <c r="BE18" s="1">
        <v>21.461932378492516</v>
      </c>
      <c r="BF18" s="1">
        <v>601.88913206057748</v>
      </c>
      <c r="BG18" s="1">
        <v>202.77082579844256</v>
      </c>
    </row>
    <row r="19" spans="1:59" x14ac:dyDescent="0.25">
      <c r="A19">
        <v>12</v>
      </c>
      <c r="B19">
        <v>117.89656263592866</v>
      </c>
      <c r="C19">
        <v>196.51736617148225</v>
      </c>
      <c r="D19">
        <v>444.58256095379016</v>
      </c>
      <c r="E19">
        <v>666.2330195286645</v>
      </c>
      <c r="F19">
        <v>287.63804683786452</v>
      </c>
      <c r="G19">
        <v>533.51855548509934</v>
      </c>
      <c r="H19">
        <v>583.59879419411197</v>
      </c>
      <c r="I19">
        <v>526.52505429974451</v>
      </c>
      <c r="J19">
        <v>182.64881851859633</v>
      </c>
      <c r="K19">
        <v>451.6032365069554</v>
      </c>
      <c r="L19">
        <v>778.78655149776046</v>
      </c>
      <c r="M19">
        <v>420.72797911662985</v>
      </c>
      <c r="N19">
        <v>554.85057377251019</v>
      </c>
      <c r="O19">
        <v>336.05135931447484</v>
      </c>
      <c r="P19">
        <v>7.2043559601387734</v>
      </c>
      <c r="Q19">
        <v>85.025341989821953</v>
      </c>
      <c r="R19">
        <v>757.37096327430322</v>
      </c>
      <c r="S19">
        <v>413.91542704685764</v>
      </c>
      <c r="U19">
        <v>80</v>
      </c>
      <c r="V19">
        <v>657.34161287453139</v>
      </c>
      <c r="W19">
        <v>809.56771131317112</v>
      </c>
      <c r="X19">
        <v>1008.1556995789373</v>
      </c>
      <c r="Y19">
        <v>1213.7450277803521</v>
      </c>
      <c r="Z19">
        <v>805.22533293878803</v>
      </c>
      <c r="AA19">
        <v>982.60101278346679</v>
      </c>
      <c r="AB19">
        <v>1036.3723499740486</v>
      </c>
      <c r="AC19">
        <v>1085.4004861839785</v>
      </c>
      <c r="AD19">
        <v>694.7078637176819</v>
      </c>
      <c r="AE19">
        <v>1003.7526300285987</v>
      </c>
      <c r="AF19">
        <v>1245.3054871887266</v>
      </c>
      <c r="AG19">
        <v>710.79478185071571</v>
      </c>
      <c r="AH19">
        <v>1118.9568151394712</v>
      </c>
      <c r="AI19">
        <v>1035.9274548586395</v>
      </c>
      <c r="AJ19">
        <v>187.90551233078796</v>
      </c>
      <c r="AK19">
        <v>640.57190537646886</v>
      </c>
      <c r="AL19">
        <v>1249.2779580007561</v>
      </c>
      <c r="AM19">
        <v>1060.3261290384125</v>
      </c>
    </row>
    <row r="20" spans="1:59" x14ac:dyDescent="0.25">
      <c r="A20">
        <v>8</v>
      </c>
      <c r="B20">
        <v>70.371873031312234</v>
      </c>
      <c r="C20">
        <v>138.60160027788069</v>
      </c>
      <c r="D20">
        <v>396.39082016336926</v>
      </c>
      <c r="E20">
        <v>614.81790966505366</v>
      </c>
      <c r="F20">
        <v>232.68078183607969</v>
      </c>
      <c r="G20">
        <v>486.02126603148452</v>
      </c>
      <c r="H20">
        <v>540.80913561405202</v>
      </c>
      <c r="I20">
        <v>475.05080382157104</v>
      </c>
      <c r="J20">
        <v>140.92386132916863</v>
      </c>
      <c r="K20">
        <v>384.85904002732866</v>
      </c>
      <c r="L20">
        <v>723.05470795780184</v>
      </c>
      <c r="M20">
        <v>386.01014397930766</v>
      </c>
      <c r="N20">
        <v>528.93159937835776</v>
      </c>
      <c r="O20">
        <v>244.33722749230589</v>
      </c>
      <c r="P20">
        <v>3.0502806383739691</v>
      </c>
      <c r="Q20">
        <v>58.873303484466156</v>
      </c>
      <c r="R20">
        <v>710.4423162657082</v>
      </c>
      <c r="S20">
        <v>342.65922193545975</v>
      </c>
      <c r="U20">
        <v>60</v>
      </c>
      <c r="V20">
        <v>496.1289744725417</v>
      </c>
      <c r="W20">
        <v>651.63657781896188</v>
      </c>
      <c r="X20">
        <v>871.5601286089618</v>
      </c>
      <c r="Y20">
        <v>1098.4280601476025</v>
      </c>
      <c r="Z20">
        <v>659.3030706178572</v>
      </c>
      <c r="AA20">
        <v>884.59423357356161</v>
      </c>
      <c r="AB20">
        <v>893.57494603872965</v>
      </c>
      <c r="AC20">
        <v>930.21567019141628</v>
      </c>
      <c r="AD20">
        <v>541.58877403987663</v>
      </c>
      <c r="AE20">
        <v>861.55544469801555</v>
      </c>
      <c r="AF20">
        <v>1139.629485573485</v>
      </c>
      <c r="AG20">
        <v>639.25444198611603</v>
      </c>
      <c r="AH20">
        <v>952.35385112145866</v>
      </c>
      <c r="AI20">
        <v>841.15916242749984</v>
      </c>
      <c r="AJ20">
        <v>117.31503342825387</v>
      </c>
      <c r="AK20">
        <v>462.57324912043214</v>
      </c>
      <c r="AL20">
        <v>1139.7898731312889</v>
      </c>
      <c r="AM20">
        <v>910.91438595624777</v>
      </c>
    </row>
    <row r="21" spans="1:59" x14ac:dyDescent="0.25">
      <c r="A21">
        <v>4</v>
      </c>
      <c r="B21">
        <v>30.15385040892188</v>
      </c>
      <c r="C21">
        <v>99.119636836022011</v>
      </c>
      <c r="D21">
        <v>349.79634438092449</v>
      </c>
      <c r="E21">
        <v>562.23870249069216</v>
      </c>
      <c r="F21">
        <v>185.08134645230794</v>
      </c>
      <c r="G21">
        <v>442.48292562229614</v>
      </c>
      <c r="H21">
        <v>515.20861068514125</v>
      </c>
      <c r="I21">
        <v>425.50141568864802</v>
      </c>
      <c r="J21">
        <v>108.39362769564332</v>
      </c>
      <c r="K21">
        <v>325.34631272636562</v>
      </c>
      <c r="L21">
        <v>673.12968178784274</v>
      </c>
      <c r="M21">
        <v>350.54991086025694</v>
      </c>
      <c r="N21">
        <v>511.78175014438278</v>
      </c>
      <c r="O21">
        <v>179.96071364631615</v>
      </c>
      <c r="P21">
        <v>3.3234958174367581</v>
      </c>
      <c r="Q21">
        <v>38.169021088922932</v>
      </c>
      <c r="R21">
        <v>667.33506338570464</v>
      </c>
      <c r="S21">
        <v>279.07630669121482</v>
      </c>
      <c r="U21">
        <v>40</v>
      </c>
      <c r="V21">
        <v>296.12964780342594</v>
      </c>
      <c r="W21">
        <v>441.83259205169139</v>
      </c>
      <c r="X21">
        <v>686.46986921869234</v>
      </c>
      <c r="Y21">
        <v>943.58938506122956</v>
      </c>
      <c r="Z21">
        <v>486.46482976394333</v>
      </c>
      <c r="AA21">
        <v>772.70247154739047</v>
      </c>
      <c r="AB21">
        <v>752.91277823470398</v>
      </c>
      <c r="AC21">
        <v>744.63158550061996</v>
      </c>
      <c r="AD21">
        <v>357.84767707521308</v>
      </c>
      <c r="AE21">
        <v>688.13249958862514</v>
      </c>
      <c r="AF21">
        <v>998.12357491237663</v>
      </c>
      <c r="AG21">
        <v>567.41153634203249</v>
      </c>
      <c r="AH21">
        <v>725.32978208880604</v>
      </c>
      <c r="AI21">
        <v>620.86165130641859</v>
      </c>
      <c r="AJ21">
        <v>41.901797113558324</v>
      </c>
      <c r="AK21">
        <v>278.9790583737522</v>
      </c>
      <c r="AL21">
        <v>1003.0828318943854</v>
      </c>
      <c r="AM21">
        <v>686.87079165140005</v>
      </c>
    </row>
    <row r="22" spans="1:59" x14ac:dyDescent="0.25">
      <c r="A22">
        <v>0</v>
      </c>
      <c r="B22">
        <v>13.944648980576853</v>
      </c>
      <c r="C22">
        <v>54.511620350709094</v>
      </c>
      <c r="D22">
        <v>292.67785358360516</v>
      </c>
      <c r="E22">
        <v>477.24659513484761</v>
      </c>
      <c r="F22">
        <v>137.50194374093127</v>
      </c>
      <c r="G22">
        <v>374.87741145702387</v>
      </c>
      <c r="H22">
        <v>488.00946734883536</v>
      </c>
      <c r="I22">
        <v>374.02329215692953</v>
      </c>
      <c r="J22">
        <v>81.035467277798844</v>
      </c>
      <c r="K22">
        <v>254.95891566562429</v>
      </c>
      <c r="L22">
        <v>605.14075858290857</v>
      </c>
      <c r="M22">
        <v>301.11249494886539</v>
      </c>
      <c r="N22">
        <v>495.80530782337661</v>
      </c>
      <c r="O22">
        <v>119.76311795583797</v>
      </c>
      <c r="P22">
        <v>2.9696069607841689</v>
      </c>
      <c r="Q22">
        <v>24.714940203879276</v>
      </c>
      <c r="R22">
        <v>600.63013656202531</v>
      </c>
      <c r="S22">
        <v>192.80822123342745</v>
      </c>
      <c r="U22">
        <v>30</v>
      </c>
      <c r="V22">
        <v>199.52323844332136</v>
      </c>
      <c r="W22">
        <v>342.79842034017764</v>
      </c>
      <c r="X22">
        <v>593.80137996865199</v>
      </c>
      <c r="Y22">
        <v>843.56901726242279</v>
      </c>
      <c r="Z22">
        <v>400.90641840319415</v>
      </c>
      <c r="AA22">
        <v>694.78864495794403</v>
      </c>
      <c r="AB22">
        <v>666.34119177187813</v>
      </c>
      <c r="AC22">
        <v>651.39199388097632</v>
      </c>
      <c r="AD22">
        <v>259.97243619363832</v>
      </c>
      <c r="AE22">
        <v>581.39200511900447</v>
      </c>
      <c r="AF22">
        <v>922.6593194403448</v>
      </c>
      <c r="AG22">
        <v>513.96822988914573</v>
      </c>
      <c r="AH22">
        <v>588.38445814700924</v>
      </c>
      <c r="AI22">
        <v>468.48863451389104</v>
      </c>
      <c r="AJ22">
        <v>27.044805727592223</v>
      </c>
      <c r="AK22">
        <v>198.68842849879832</v>
      </c>
      <c r="AL22">
        <v>913.11817077393221</v>
      </c>
      <c r="AM22">
        <v>577.24716518508706</v>
      </c>
    </row>
    <row r="23" spans="1:59" x14ac:dyDescent="0.25">
      <c r="U23">
        <v>20</v>
      </c>
      <c r="V23">
        <v>82.136088508062869</v>
      </c>
      <c r="W23">
        <v>213.89060495422692</v>
      </c>
      <c r="X23">
        <v>472.54795008835782</v>
      </c>
      <c r="Y23">
        <v>724.54011713411262</v>
      </c>
      <c r="Z23">
        <v>273.90114406361067</v>
      </c>
      <c r="AA23">
        <v>601.57854884796188</v>
      </c>
      <c r="AB23">
        <v>585.74178594136674</v>
      </c>
      <c r="AC23">
        <v>539.11347185788929</v>
      </c>
      <c r="AD23">
        <v>155.92486345152034</v>
      </c>
      <c r="AE23">
        <v>452.24598249662051</v>
      </c>
      <c r="AF23">
        <v>831.55372307254265</v>
      </c>
      <c r="AG23">
        <v>449.21271792891361</v>
      </c>
      <c r="AH23">
        <v>481.35085778001411</v>
      </c>
      <c r="AI23">
        <v>318.70244326423256</v>
      </c>
      <c r="AJ23">
        <v>14.588513850506473</v>
      </c>
      <c r="AK23">
        <v>122.82675110447303</v>
      </c>
      <c r="AL23">
        <v>815.24898415437258</v>
      </c>
      <c r="AM23">
        <v>414.44291731757249</v>
      </c>
    </row>
    <row r="24" spans="1:59" x14ac:dyDescent="0.25">
      <c r="U24">
        <v>16</v>
      </c>
      <c r="V24">
        <v>47.986119090920361</v>
      </c>
      <c r="W24">
        <v>170.41774148597176</v>
      </c>
      <c r="X24">
        <v>430.7249191553579</v>
      </c>
      <c r="Y24">
        <v>675.60527913980627</v>
      </c>
      <c r="Z24">
        <v>233.856851429459</v>
      </c>
      <c r="AA24">
        <v>556.90240334543171</v>
      </c>
      <c r="AB24">
        <v>554.31612994402235</v>
      </c>
      <c r="AC24">
        <v>500.69335496852483</v>
      </c>
      <c r="AD24">
        <v>126.61011421512227</v>
      </c>
      <c r="AE24">
        <v>394.9037687426835</v>
      </c>
      <c r="AF24">
        <v>792.24336828543687</v>
      </c>
      <c r="AG24">
        <v>417.14764573763728</v>
      </c>
      <c r="AH24">
        <v>458.10692403848441</v>
      </c>
      <c r="AI24">
        <v>251.5382275872272</v>
      </c>
      <c r="AJ24">
        <v>9.9988658001654969</v>
      </c>
      <c r="AK24">
        <v>100.46828739650746</v>
      </c>
      <c r="AL24">
        <v>770.35646747113481</v>
      </c>
      <c r="AM24">
        <v>350.29517922374697</v>
      </c>
    </row>
    <row r="25" spans="1:59" x14ac:dyDescent="0.25">
      <c r="U25">
        <v>12</v>
      </c>
      <c r="V25">
        <v>18.003899338646249</v>
      </c>
      <c r="W25">
        <v>117.43632829281032</v>
      </c>
      <c r="X25">
        <v>376.31692548688505</v>
      </c>
      <c r="Y25">
        <v>617.59947778386208</v>
      </c>
      <c r="Z25">
        <v>181.78222523988396</v>
      </c>
      <c r="AA25">
        <v>507.47739462889541</v>
      </c>
      <c r="AB25">
        <v>516.02370590386249</v>
      </c>
      <c r="AC25">
        <v>445.33672951666642</v>
      </c>
      <c r="AD25">
        <v>89.993023684424884</v>
      </c>
      <c r="AE25">
        <v>324.08934008537551</v>
      </c>
      <c r="AF25">
        <v>745.58195381037808</v>
      </c>
      <c r="AG25">
        <v>379.07169816903706</v>
      </c>
      <c r="AH25">
        <v>442.51578239915489</v>
      </c>
      <c r="AI25">
        <v>187.19846250112374</v>
      </c>
      <c r="AJ25">
        <v>6.7342450924890489</v>
      </c>
      <c r="AK25">
        <v>73.300221519386483</v>
      </c>
      <c r="AL25">
        <v>714.84759905343572</v>
      </c>
      <c r="AM25">
        <v>267.7877901660064</v>
      </c>
    </row>
    <row r="26" spans="1:59" x14ac:dyDescent="0.25">
      <c r="U26">
        <v>8</v>
      </c>
      <c r="V26">
        <v>3.4019249018073672</v>
      </c>
      <c r="W26">
        <v>76.362441133988881</v>
      </c>
      <c r="X26">
        <v>302.11486020231717</v>
      </c>
      <c r="Y26">
        <v>538.61713522402738</v>
      </c>
      <c r="Z26">
        <v>113.28102760558038</v>
      </c>
      <c r="AA26">
        <v>441.11390592892877</v>
      </c>
      <c r="AB26">
        <v>474.49028256705822</v>
      </c>
      <c r="AC26">
        <v>380.49385584106119</v>
      </c>
      <c r="AD26">
        <v>55.715327847173036</v>
      </c>
      <c r="AE26">
        <v>221.84422986482153</v>
      </c>
      <c r="AF26">
        <v>681.70874797141039</v>
      </c>
      <c r="AG26">
        <v>329.07540638795376</v>
      </c>
      <c r="AH26">
        <v>421.1024279454391</v>
      </c>
      <c r="AI26">
        <v>95.501043914302755</v>
      </c>
      <c r="AJ26">
        <v>5.7697859889773317</v>
      </c>
      <c r="AK26">
        <v>42.965849200671862</v>
      </c>
      <c r="AL26">
        <v>650.95690326025056</v>
      </c>
      <c r="AM26">
        <v>153.74744302660767</v>
      </c>
    </row>
    <row r="27" spans="1:59" x14ac:dyDescent="0.25">
      <c r="U27">
        <v>4</v>
      </c>
      <c r="V27">
        <v>3.3335444542925261</v>
      </c>
      <c r="W27">
        <v>40.465008781082574</v>
      </c>
      <c r="X27">
        <v>245.86982991718739</v>
      </c>
      <c r="Y27">
        <v>453.48986246213803</v>
      </c>
      <c r="Z27">
        <v>72.829449121324927</v>
      </c>
      <c r="AA27">
        <v>359.12064348221617</v>
      </c>
      <c r="AB27">
        <v>450.51429378235844</v>
      </c>
      <c r="AC27">
        <v>325.07676366319072</v>
      </c>
      <c r="AD27">
        <v>29.857205654763504</v>
      </c>
      <c r="AE27">
        <v>134.11202622046724</v>
      </c>
      <c r="AF27">
        <v>604.70698013740594</v>
      </c>
      <c r="AG27">
        <v>277.93111086600811</v>
      </c>
      <c r="AH27">
        <v>402.16518096008252</v>
      </c>
      <c r="AI27">
        <v>25.4491460727473</v>
      </c>
      <c r="AJ27">
        <v>3.5503803722883047</v>
      </c>
      <c r="AK27">
        <v>23.681466230405633</v>
      </c>
      <c r="AL27">
        <v>581.66365271237873</v>
      </c>
      <c r="AM27">
        <v>51.36378383878079</v>
      </c>
    </row>
    <row r="28" spans="1:59" x14ac:dyDescent="0.25">
      <c r="U28">
        <v>0</v>
      </c>
      <c r="V28">
        <v>3.345071647580097</v>
      </c>
      <c r="W28">
        <v>19.660422910490169</v>
      </c>
      <c r="X28">
        <v>196.90863931038479</v>
      </c>
      <c r="Y28">
        <v>360.61935398215411</v>
      </c>
      <c r="Z28">
        <v>48.083436881295661</v>
      </c>
      <c r="AA28">
        <v>279.0126887370298</v>
      </c>
      <c r="AB28">
        <v>430.17321749717291</v>
      </c>
      <c r="AC28">
        <v>275.99356668848429</v>
      </c>
      <c r="AD28">
        <v>21.837456546633643</v>
      </c>
      <c r="AE28">
        <v>61.900407267469248</v>
      </c>
      <c r="AF28">
        <v>536.7616602980371</v>
      </c>
      <c r="AG28">
        <v>222.60990678406139</v>
      </c>
      <c r="AH28">
        <v>392.88162419745532</v>
      </c>
      <c r="AI28">
        <v>3.4593122597073851</v>
      </c>
      <c r="AJ28">
        <v>2.7291463150561341</v>
      </c>
      <c r="AK28">
        <v>14.392293908237816</v>
      </c>
      <c r="AL28">
        <v>506.54499224215868</v>
      </c>
      <c r="AM28">
        <v>10.090626045307317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DFA0-A10F-4450-A8E6-4011A241729B}">
  <dimension ref="A1"/>
  <sheetViews>
    <sheetView tabSelected="1" zoomScale="55" zoomScaleNormal="55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944B-7FF7-47BE-B1A6-9BF3D808F4CF}">
  <dimension ref="A1:S40"/>
  <sheetViews>
    <sheetView topLeftCell="A4" workbookViewId="0">
      <selection activeCell="B16" sqref="B16:S1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51.315902915760731</v>
      </c>
      <c r="C2">
        <v>79.81995611195812</v>
      </c>
      <c r="D2">
        <v>312.78851383270211</v>
      </c>
      <c r="E2">
        <v>478.91097849275224</v>
      </c>
      <c r="F2">
        <v>185.16277145600586</v>
      </c>
      <c r="G2">
        <v>387.32463765934142</v>
      </c>
      <c r="H2">
        <v>493.19828497090668</v>
      </c>
      <c r="I2">
        <v>396.43515510344736</v>
      </c>
      <c r="J2">
        <v>113.18863691421231</v>
      </c>
      <c r="K2">
        <v>282.51234668436911</v>
      </c>
      <c r="L2">
        <v>606.96644379543204</v>
      </c>
      <c r="M2">
        <v>300.29195300637133</v>
      </c>
      <c r="N2">
        <v>507.14443916382027</v>
      </c>
      <c r="O2">
        <v>172.42133639851718</v>
      </c>
      <c r="P2">
        <v>2.9808303266814096</v>
      </c>
      <c r="Q2">
        <v>25.515005841107804</v>
      </c>
      <c r="R2">
        <v>604.03981275197862</v>
      </c>
      <c r="S2">
        <v>230.07957370313102</v>
      </c>
    </row>
    <row r="3" spans="1:19" x14ac:dyDescent="0.25">
      <c r="A3">
        <v>4</v>
      </c>
      <c r="B3">
        <v>77.481873033210945</v>
      </c>
      <c r="C3">
        <v>107.69047231711936</v>
      </c>
      <c r="D3">
        <v>347.29017684374787</v>
      </c>
      <c r="E3">
        <v>504.37287597165255</v>
      </c>
      <c r="F3">
        <v>211.57108655548004</v>
      </c>
      <c r="G3">
        <v>413.47957430830991</v>
      </c>
      <c r="H3">
        <v>511.62179898135469</v>
      </c>
      <c r="I3">
        <v>426.44879249183526</v>
      </c>
      <c r="J3">
        <v>146.69243584698796</v>
      </c>
      <c r="K3">
        <v>319.98184136861954</v>
      </c>
      <c r="L3">
        <v>632.8744711852836</v>
      </c>
      <c r="M3">
        <v>316.74503672420531</v>
      </c>
      <c r="N3">
        <v>517.66055888575784</v>
      </c>
      <c r="O3">
        <v>218.81130003907299</v>
      </c>
      <c r="P3">
        <v>2.9809224968476573</v>
      </c>
      <c r="Q3">
        <v>31.176405862148524</v>
      </c>
      <c r="R3">
        <v>630.16387857339657</v>
      </c>
      <c r="S3">
        <v>272.74228054385821</v>
      </c>
    </row>
    <row r="4" spans="1:19" x14ac:dyDescent="0.25">
      <c r="A4">
        <v>8</v>
      </c>
      <c r="B4">
        <v>108.40759168451001</v>
      </c>
      <c r="C4">
        <v>135.06573603816139</v>
      </c>
      <c r="D4">
        <v>382.45676724835965</v>
      </c>
      <c r="E4">
        <v>539.75504959224531</v>
      </c>
      <c r="F4">
        <v>247.74906494564999</v>
      </c>
      <c r="G4">
        <v>445.0959956155487</v>
      </c>
      <c r="H4">
        <v>535.76706193376594</v>
      </c>
      <c r="I4">
        <v>456.19036600137588</v>
      </c>
      <c r="J4">
        <v>177.70227111221695</v>
      </c>
      <c r="K4">
        <v>361.45288024481385</v>
      </c>
      <c r="L4">
        <v>666.41452370963987</v>
      </c>
      <c r="M4">
        <v>339.0926596875052</v>
      </c>
      <c r="N4">
        <v>526.98895286518575</v>
      </c>
      <c r="O4">
        <v>264.40898073879623</v>
      </c>
      <c r="P4">
        <v>3.0950584949053681</v>
      </c>
      <c r="Q4">
        <v>50.923093547265012</v>
      </c>
      <c r="R4">
        <v>660.08932740994396</v>
      </c>
      <c r="S4">
        <v>317.45426305471949</v>
      </c>
    </row>
    <row r="5" spans="1:19" x14ac:dyDescent="0.25">
      <c r="A5">
        <v>12</v>
      </c>
      <c r="B5">
        <v>136.43309712519638</v>
      </c>
      <c r="C5">
        <v>180.78700693469844</v>
      </c>
      <c r="D5">
        <v>420.99080499230718</v>
      </c>
      <c r="E5">
        <v>579.93570521705783</v>
      </c>
      <c r="F5">
        <v>282.89736928473349</v>
      </c>
      <c r="G5">
        <v>480.60939343054781</v>
      </c>
      <c r="H5">
        <v>568.90398962404913</v>
      </c>
      <c r="I5">
        <v>495.51708094516874</v>
      </c>
      <c r="J5">
        <v>207.10876242312042</v>
      </c>
      <c r="K5">
        <v>408.02492328202624</v>
      </c>
      <c r="L5">
        <v>703.00762798878384</v>
      </c>
      <c r="M5">
        <v>367.11112539442559</v>
      </c>
      <c r="N5">
        <v>546.6817492532706</v>
      </c>
      <c r="O5">
        <v>315.08858381087492</v>
      </c>
      <c r="P5">
        <v>4.7403080749555597</v>
      </c>
      <c r="Q5">
        <v>76.766943543309921</v>
      </c>
      <c r="R5">
        <v>697.01902969046091</v>
      </c>
      <c r="S5">
        <v>362.2736286636964</v>
      </c>
    </row>
    <row r="6" spans="1:19" x14ac:dyDescent="0.25">
      <c r="A6">
        <v>16</v>
      </c>
      <c r="B6">
        <v>171.01496286166858</v>
      </c>
      <c r="C6">
        <v>219.1149348522753</v>
      </c>
      <c r="D6">
        <v>457.635568702939</v>
      </c>
      <c r="E6">
        <v>619.08115399829012</v>
      </c>
      <c r="F6">
        <v>320.02879932686943</v>
      </c>
      <c r="G6">
        <v>512.08808858946315</v>
      </c>
      <c r="H6">
        <v>603.63338676692956</v>
      </c>
      <c r="I6">
        <v>529.98533402436146</v>
      </c>
      <c r="J6">
        <v>232.04723675619624</v>
      </c>
      <c r="K6">
        <v>448.2383168197793</v>
      </c>
      <c r="L6">
        <v>740.97280528934709</v>
      </c>
      <c r="M6">
        <v>393.88631158981036</v>
      </c>
      <c r="N6">
        <v>575.65495905872376</v>
      </c>
      <c r="O6">
        <v>368.42350152048863</v>
      </c>
      <c r="P6">
        <v>11.278003558433912</v>
      </c>
      <c r="Q6">
        <v>98.931453183935716</v>
      </c>
      <c r="R6">
        <v>732.14883594193066</v>
      </c>
      <c r="S6">
        <v>406.62010174788691</v>
      </c>
    </row>
    <row r="7" spans="1:19" x14ac:dyDescent="0.25">
      <c r="A7">
        <v>20</v>
      </c>
      <c r="B7">
        <v>204.89178279539212</v>
      </c>
      <c r="C7">
        <v>258.35216914948165</v>
      </c>
      <c r="D7">
        <v>496.31482526354728</v>
      </c>
      <c r="E7">
        <v>657.84662408295492</v>
      </c>
      <c r="F7">
        <v>351.8367511418665</v>
      </c>
      <c r="G7">
        <v>538.25484927836112</v>
      </c>
      <c r="H7">
        <v>629.53905933464262</v>
      </c>
      <c r="I7">
        <v>558.8646984445794</v>
      </c>
      <c r="J7">
        <v>266.98538648983401</v>
      </c>
      <c r="K7">
        <v>484.08151977639784</v>
      </c>
      <c r="L7">
        <v>776.2751705155722</v>
      </c>
      <c r="M7">
        <v>414.92334693754918</v>
      </c>
      <c r="N7">
        <v>608.11684949510914</v>
      </c>
      <c r="O7">
        <v>412.73303612634822</v>
      </c>
      <c r="P7">
        <v>15.276534044607413</v>
      </c>
      <c r="Q7">
        <v>122.53453679896215</v>
      </c>
      <c r="R7">
        <v>764.17632319328402</v>
      </c>
      <c r="S7">
        <v>441.21953918162063</v>
      </c>
    </row>
    <row r="8" spans="1:19" x14ac:dyDescent="0.25">
      <c r="A8">
        <v>30</v>
      </c>
      <c r="B8">
        <v>265.58759401124064</v>
      </c>
      <c r="C8">
        <v>345.23261027406937</v>
      </c>
      <c r="D8">
        <v>577.38966804533914</v>
      </c>
      <c r="E8">
        <v>744.73681357892167</v>
      </c>
      <c r="F8">
        <v>431.36951675522715</v>
      </c>
      <c r="G8">
        <v>613.19737117129591</v>
      </c>
      <c r="H8">
        <v>691.74495154952797</v>
      </c>
      <c r="I8">
        <v>638.49435034237843</v>
      </c>
      <c r="J8">
        <v>350.21608808738415</v>
      </c>
      <c r="K8">
        <v>571.50435579579323</v>
      </c>
      <c r="L8">
        <v>849.54897597441811</v>
      </c>
      <c r="M8">
        <v>467.61070341376865</v>
      </c>
      <c r="N8">
        <v>708.48142711141372</v>
      </c>
      <c r="O8">
        <v>517.63042506752163</v>
      </c>
      <c r="P8">
        <v>25.953996020286866</v>
      </c>
      <c r="Q8">
        <v>175.90969752014681</v>
      </c>
      <c r="R8">
        <v>843.12696376354972</v>
      </c>
      <c r="S8">
        <v>537.77936088911088</v>
      </c>
    </row>
    <row r="9" spans="1:19" x14ac:dyDescent="0.25">
      <c r="A9">
        <v>40</v>
      </c>
      <c r="B9">
        <v>350.34413682493596</v>
      </c>
      <c r="C9">
        <v>424.25014941142325</v>
      </c>
      <c r="D9">
        <v>659.66567307745493</v>
      </c>
      <c r="E9">
        <v>828.92075724072083</v>
      </c>
      <c r="F9">
        <v>494.24747345556028</v>
      </c>
      <c r="G9">
        <v>678.9541201588122</v>
      </c>
      <c r="H9">
        <v>767.19429922918687</v>
      </c>
      <c r="I9">
        <v>714.33981585774052</v>
      </c>
      <c r="J9">
        <v>439.44038587376798</v>
      </c>
      <c r="K9">
        <v>645.36052417996336</v>
      </c>
      <c r="L9">
        <v>915.06361830829826</v>
      </c>
      <c r="M9">
        <v>520.57112296506943</v>
      </c>
      <c r="N9">
        <v>842.55760039369875</v>
      </c>
      <c r="O9">
        <v>620.88255161556651</v>
      </c>
      <c r="P9">
        <v>56.106930603435885</v>
      </c>
      <c r="Q9">
        <v>247.72987782387688</v>
      </c>
      <c r="R9">
        <v>916.06532829126832</v>
      </c>
      <c r="S9">
        <v>638.42943251848328</v>
      </c>
    </row>
    <row r="10" spans="1:19" x14ac:dyDescent="0.25">
      <c r="A10">
        <v>60</v>
      </c>
      <c r="B10">
        <v>471.52770794735375</v>
      </c>
      <c r="C10">
        <v>568.92057361867285</v>
      </c>
      <c r="D10">
        <v>785.7080031315204</v>
      </c>
      <c r="E10">
        <v>958.68074481695737</v>
      </c>
      <c r="F10">
        <v>599.683868356993</v>
      </c>
      <c r="G10">
        <v>782.84483553293683</v>
      </c>
      <c r="H10">
        <v>885.32199379025269</v>
      </c>
      <c r="I10">
        <v>839.6673888914836</v>
      </c>
      <c r="J10">
        <v>563.58749686868487</v>
      </c>
      <c r="K10">
        <v>768.48104089639469</v>
      </c>
      <c r="L10">
        <v>1009.3222457080435</v>
      </c>
      <c r="M10">
        <v>585.26919382624931</v>
      </c>
      <c r="N10">
        <v>1015.5343662667093</v>
      </c>
      <c r="O10">
        <v>792.4434814979852</v>
      </c>
      <c r="P10">
        <v>107.1597588693067</v>
      </c>
      <c r="Q10">
        <v>398.16095515839754</v>
      </c>
      <c r="R10">
        <v>1023.0646610782143</v>
      </c>
      <c r="S10">
        <v>767.23439614689312</v>
      </c>
    </row>
    <row r="11" spans="1:19" x14ac:dyDescent="0.25">
      <c r="A11">
        <v>80</v>
      </c>
      <c r="B11">
        <v>596.85559753454663</v>
      </c>
      <c r="C11">
        <v>722.81718897165422</v>
      </c>
      <c r="D11">
        <v>896.54888018077361</v>
      </c>
      <c r="E11">
        <v>1071.5789767463086</v>
      </c>
      <c r="F11">
        <v>709.6066355196881</v>
      </c>
      <c r="G11">
        <v>866.64537498659854</v>
      </c>
      <c r="H11">
        <v>1001.7574283222956</v>
      </c>
      <c r="I11">
        <v>978.89682246532823</v>
      </c>
      <c r="J11">
        <v>678.0665539508791</v>
      </c>
      <c r="K11">
        <v>881.35065830685573</v>
      </c>
      <c r="L11">
        <v>1105.9824828761261</v>
      </c>
      <c r="M11">
        <v>640.41365970552806</v>
      </c>
      <c r="N11">
        <v>1147.3813744189754</v>
      </c>
      <c r="O11">
        <v>935.03548174177331</v>
      </c>
      <c r="P11">
        <v>165.73566108434781</v>
      </c>
      <c r="Q11">
        <v>553.97434164816093</v>
      </c>
      <c r="R11">
        <v>1123.7354744951233</v>
      </c>
      <c r="S11">
        <v>919.29885849166408</v>
      </c>
    </row>
    <row r="12" spans="1:19" x14ac:dyDescent="0.25">
      <c r="A12">
        <v>100</v>
      </c>
      <c r="B12">
        <v>720.69842922324619</v>
      </c>
      <c r="C12">
        <v>848.35047932239263</v>
      </c>
      <c r="D12">
        <v>1009.3576728334044</v>
      </c>
      <c r="E12">
        <v>1173.5757487577634</v>
      </c>
      <c r="F12">
        <v>810.81558409725551</v>
      </c>
      <c r="G12">
        <v>940.32202712282105</v>
      </c>
      <c r="H12">
        <v>1119.3609534599295</v>
      </c>
      <c r="I12">
        <v>1102.9744056244426</v>
      </c>
      <c r="J12">
        <v>810.5442920411981</v>
      </c>
      <c r="K12">
        <v>988.57713882878943</v>
      </c>
      <c r="L12">
        <v>1202.5814908257057</v>
      </c>
      <c r="M12">
        <v>693.19553454853519</v>
      </c>
      <c r="N12">
        <v>1272.1389661569901</v>
      </c>
      <c r="O12">
        <v>1088.453467390528</v>
      </c>
      <c r="P12">
        <v>212.99840731394889</v>
      </c>
      <c r="Q12">
        <v>704.43685468444767</v>
      </c>
      <c r="R12">
        <v>1221.3889474564025</v>
      </c>
      <c r="S12">
        <v>1042.7226858878917</v>
      </c>
    </row>
    <row r="14" spans="1:19" x14ac:dyDescent="0.25">
      <c r="B14">
        <f>SLOPE($A2:$A12,B2:B12)</f>
        <v>0.14820331198019246</v>
      </c>
      <c r="C14">
        <f t="shared" ref="C14:S14" si="0">SLOPE($A2:$A12,C2:C12)</f>
        <v>0.12726832395233134</v>
      </c>
      <c r="D14">
        <f t="shared" si="0"/>
        <v>0.14092589063327976</v>
      </c>
      <c r="E14">
        <f t="shared" si="0"/>
        <v>0.13832576055665635</v>
      </c>
      <c r="F14">
        <f t="shared" si="0"/>
        <v>0.15746379865619764</v>
      </c>
      <c r="G14">
        <f t="shared" si="0"/>
        <v>0.1736134452644551</v>
      </c>
      <c r="H14">
        <f t="shared" si="0"/>
        <v>0.15723240079780282</v>
      </c>
      <c r="I14">
        <f t="shared" si="0"/>
        <v>0.14055514594661897</v>
      </c>
      <c r="J14">
        <f t="shared" si="0"/>
        <v>0.14200921075530862</v>
      </c>
      <c r="K14">
        <f t="shared" si="0"/>
        <v>0.13949573730089562</v>
      </c>
      <c r="L14">
        <f t="shared" si="0"/>
        <v>0.1647131365099149</v>
      </c>
      <c r="M14">
        <f t="shared" si="0"/>
        <v>0.24182086295403218</v>
      </c>
      <c r="N14">
        <f t="shared" si="0"/>
        <v>0.11881377792081306</v>
      </c>
      <c r="O14">
        <f t="shared" si="0"/>
        <v>0.10774720810800886</v>
      </c>
      <c r="P14">
        <f t="shared" si="0"/>
        <v>0.43942034416861592</v>
      </c>
      <c r="Q14">
        <f t="shared" si="0"/>
        <v>0.14364451454282531</v>
      </c>
      <c r="R14">
        <f t="shared" si="0"/>
        <v>0.15757140149208201</v>
      </c>
      <c r="S14">
        <f t="shared" si="0"/>
        <v>0.12147242378093026</v>
      </c>
    </row>
    <row r="15" spans="1:19" x14ac:dyDescent="0.25">
      <c r="B15">
        <f>INTERCEPT($A2:$A12,B2:B12)</f>
        <v>-8.8650948738806719</v>
      </c>
      <c r="C15">
        <f>INTERCEPT($A2:$A12,C2:C12)</f>
        <v>-11.374986366003832</v>
      </c>
      <c r="D15">
        <f t="shared" ref="D15:S15" si="1">INTERCEPT($A2:$A12,D2:D12)</f>
        <v>-47.666941384836669</v>
      </c>
      <c r="E15">
        <f t="shared" si="1"/>
        <v>-68.94344789164083</v>
      </c>
      <c r="F15">
        <f t="shared" si="1"/>
        <v>-32.855859174923445</v>
      </c>
      <c r="G15">
        <f t="shared" si="1"/>
        <v>-71.460003058649107</v>
      </c>
      <c r="H15">
        <f t="shared" si="1"/>
        <v>-77.970670829179625</v>
      </c>
      <c r="I15">
        <f t="shared" si="1"/>
        <v>-57.568774368491567</v>
      </c>
      <c r="J15">
        <f t="shared" si="1"/>
        <v>-17.817182343792823</v>
      </c>
      <c r="K15">
        <f t="shared" si="1"/>
        <v>-44.47573975619121</v>
      </c>
      <c r="L15">
        <f t="shared" si="1"/>
        <v>-104.2586270510524</v>
      </c>
      <c r="M15">
        <f t="shared" si="1"/>
        <v>-77.14200776105551</v>
      </c>
      <c r="N15">
        <f t="shared" si="1"/>
        <v>-55.672078202507031</v>
      </c>
      <c r="O15">
        <f t="shared" si="1"/>
        <v>-22.258305205711196</v>
      </c>
      <c r="P15">
        <f t="shared" si="1"/>
        <v>9.3361625061569171</v>
      </c>
      <c r="Q15">
        <f t="shared" si="1"/>
        <v>1.1719307300870483</v>
      </c>
      <c r="R15">
        <f t="shared" si="1"/>
        <v>-98.365762985730839</v>
      </c>
      <c r="S15">
        <f t="shared" si="1"/>
        <v>-31.912962478828739</v>
      </c>
    </row>
    <row r="16" spans="1:19" x14ac:dyDescent="0.25">
      <c r="B16">
        <f>MAX(B30:B40)/MAX($A:$A)</f>
        <v>3.057066536416542E-2</v>
      </c>
      <c r="C16">
        <f t="shared" ref="C16:S16" si="2">MAX(C30:C40)/MAX($A:$A)</f>
        <v>3.4068427384860059E-2</v>
      </c>
      <c r="D16">
        <f t="shared" si="2"/>
        <v>5.4223123732545273E-2</v>
      </c>
      <c r="E16">
        <f t="shared" si="2"/>
        <v>6.6076898738757564E-2</v>
      </c>
      <c r="F16">
        <f t="shared" si="2"/>
        <v>5.1817572933259157E-2</v>
      </c>
      <c r="G16">
        <f t="shared" si="2"/>
        <v>8.2074562717997429E-2</v>
      </c>
      <c r="H16">
        <f t="shared" si="2"/>
        <v>2.6571307170133451E-2</v>
      </c>
      <c r="I16">
        <f t="shared" si="2"/>
        <v>2.835362704874065E-2</v>
      </c>
      <c r="J16">
        <f t="shared" si="2"/>
        <v>4.5874000281492397E-2</v>
      </c>
      <c r="K16">
        <f t="shared" si="2"/>
        <v>6.5734428964593972E-2</v>
      </c>
      <c r="L16">
        <f t="shared" si="2"/>
        <v>6.4643716266189977E-2</v>
      </c>
      <c r="M16">
        <f t="shared" si="2"/>
        <v>9.5128654006470872E-2</v>
      </c>
      <c r="N16">
        <f t="shared" si="2"/>
        <v>4.9873964620593937E-2</v>
      </c>
      <c r="O16">
        <f t="shared" si="2"/>
        <v>4.9804829389001382E-2</v>
      </c>
      <c r="P16">
        <f t="shared" si="2"/>
        <v>0.1064599999421551</v>
      </c>
      <c r="Q16">
        <f t="shared" si="2"/>
        <v>4.8370213576903305E-2</v>
      </c>
      <c r="R16">
        <f t="shared" si="2"/>
        <v>5.9799346514285222E-2</v>
      </c>
      <c r="S16">
        <f t="shared" si="2"/>
        <v>5.6386081022752776E-2</v>
      </c>
    </row>
    <row r="18" spans="1:19" x14ac:dyDescent="0.25">
      <c r="A18">
        <v>0</v>
      </c>
      <c r="B18">
        <f t="shared" ref="B18:S18" si="3">B2*B$14+B$15</f>
        <v>-1.2599081045109166</v>
      </c>
      <c r="C18">
        <f t="shared" si="3"/>
        <v>-1.2164343336862746</v>
      </c>
      <c r="D18">
        <f t="shared" si="3"/>
        <v>-3.5869414931031756</v>
      </c>
      <c r="E18">
        <f t="shared" si="3"/>
        <v>-2.6977225526983801</v>
      </c>
      <c r="F18">
        <f t="shared" si="3"/>
        <v>-3.6994258117514001</v>
      </c>
      <c r="G18">
        <f t="shared" si="3"/>
        <v>-4.2152382788041365</v>
      </c>
      <c r="H18">
        <f t="shared" si="3"/>
        <v>-0.42392041384505319</v>
      </c>
      <c r="I18">
        <f t="shared" si="3"/>
        <v>-1.8477732845559984</v>
      </c>
      <c r="J18">
        <f t="shared" si="3"/>
        <v>-1.743353349136342</v>
      </c>
      <c r="K18">
        <f t="shared" si="3"/>
        <v>-5.0664716588489043</v>
      </c>
      <c r="L18">
        <f t="shared" si="3"/>
        <v>-4.2832803372378123</v>
      </c>
      <c r="M18">
        <f t="shared" si="3"/>
        <v>-4.525148546903111</v>
      </c>
      <c r="N18">
        <f t="shared" si="3"/>
        <v>4.5836685660784013</v>
      </c>
      <c r="O18">
        <f t="shared" si="3"/>
        <v>-3.6803875905191603</v>
      </c>
      <c r="P18">
        <f t="shared" si="3"/>
        <v>10.64599999421551</v>
      </c>
      <c r="Q18">
        <f t="shared" si="3"/>
        <v>4.8370213576903307</v>
      </c>
      <c r="R18">
        <f t="shared" si="3"/>
        <v>-3.1863631333867772</v>
      </c>
      <c r="S18">
        <f t="shared" si="3"/>
        <v>-3.9646389986262314</v>
      </c>
    </row>
    <row r="19" spans="1:19" x14ac:dyDescent="0.25">
      <c r="A19">
        <v>4</v>
      </c>
      <c r="B19">
        <f t="shared" ref="B19:S19" si="4">B3*B$14+B$15</f>
        <v>2.6179753280699511</v>
      </c>
      <c r="C19">
        <f t="shared" si="4"/>
        <v>2.3305995514308862</v>
      </c>
      <c r="D19">
        <f t="shared" si="4"/>
        <v>1.2752360950577284</v>
      </c>
      <c r="E19">
        <f t="shared" si="4"/>
        <v>0.82431378128610788</v>
      </c>
      <c r="F19">
        <f t="shared" si="4"/>
        <v>0.45892779992162502</v>
      </c>
      <c r="G19">
        <f t="shared" si="4"/>
        <v>0.32561038349685134</v>
      </c>
      <c r="H19">
        <f t="shared" si="4"/>
        <v>2.4728529251496383</v>
      </c>
      <c r="I19">
        <f t="shared" si="4"/>
        <v>2.3707978989577683</v>
      </c>
      <c r="J19">
        <f t="shared" si="4"/>
        <v>3.0144946946116811</v>
      </c>
      <c r="K19">
        <f t="shared" si="4"/>
        <v>0.16036312842259548</v>
      </c>
      <c r="L19">
        <f t="shared" si="4"/>
        <v>-1.5887885070583252E-2</v>
      </c>
      <c r="M19">
        <f t="shared" si="4"/>
        <v>-0.54644964400156937</v>
      </c>
      <c r="N19">
        <f t="shared" si="4"/>
        <v>5.8331284793093729</v>
      </c>
      <c r="O19">
        <f t="shared" si="4"/>
        <v>1.3180014759827685</v>
      </c>
      <c r="P19">
        <f t="shared" si="4"/>
        <v>10.646040495661685</v>
      </c>
      <c r="Q19">
        <f t="shared" si="4"/>
        <v>5.6502504153454662</v>
      </c>
      <c r="R19">
        <f t="shared" si="4"/>
        <v>0.93004253076544785</v>
      </c>
      <c r="S19">
        <f t="shared" si="4"/>
        <v>1.2177034063721734</v>
      </c>
    </row>
    <row r="20" spans="1:19" x14ac:dyDescent="0.25">
      <c r="A20">
        <v>8</v>
      </c>
      <c r="B20">
        <f t="shared" ref="B20:S20" si="5">B4*B$14+B$15</f>
        <v>7.2012692575600816</v>
      </c>
      <c r="C20">
        <f t="shared" si="5"/>
        <v>5.8146034829609654</v>
      </c>
      <c r="D20">
        <f t="shared" si="5"/>
        <v>6.2311191683633993</v>
      </c>
      <c r="E20">
        <f t="shared" si="5"/>
        <v>5.7185798575022773</v>
      </c>
      <c r="F20">
        <f t="shared" si="5"/>
        <v>6.1556497049396199</v>
      </c>
      <c r="G20">
        <f t="shared" si="5"/>
        <v>5.8146462135791097</v>
      </c>
      <c r="H20">
        <f t="shared" si="5"/>
        <v>6.2692705870515084</v>
      </c>
      <c r="I20">
        <f t="shared" si="5"/>
        <v>6.5511291042733504</v>
      </c>
      <c r="J20">
        <f t="shared" si="5"/>
        <v>7.418176926278985</v>
      </c>
      <c r="K20">
        <f t="shared" si="5"/>
        <v>5.9453962730914256</v>
      </c>
      <c r="L20">
        <f t="shared" si="5"/>
        <v>5.5085993649234268</v>
      </c>
      <c r="M20">
        <f t="shared" si="5"/>
        <v>4.8576718259549665</v>
      </c>
      <c r="N20">
        <f t="shared" si="5"/>
        <v>6.94147020993897</v>
      </c>
      <c r="O20">
        <f t="shared" si="5"/>
        <v>6.2310242675783876</v>
      </c>
      <c r="P20">
        <f t="shared" si="5"/>
        <v>10.696194175210232</v>
      </c>
      <c r="Q20">
        <f t="shared" si="5"/>
        <v>8.4867537817028111</v>
      </c>
      <c r="R20">
        <f t="shared" si="5"/>
        <v>5.645437444219823</v>
      </c>
      <c r="S20">
        <f t="shared" si="5"/>
        <v>6.6489762940170607</v>
      </c>
    </row>
    <row r="21" spans="1:19" x14ac:dyDescent="0.25">
      <c r="A21">
        <v>12</v>
      </c>
      <c r="B21">
        <f t="shared" ref="B21:S21" si="6">B5*B$14+B$15</f>
        <v>11.354741983788706</v>
      </c>
      <c r="C21">
        <f t="shared" si="6"/>
        <v>11.633472998933744</v>
      </c>
      <c r="D21">
        <f t="shared" si="6"/>
        <v>11.661562757125623</v>
      </c>
      <c r="E21">
        <f t="shared" si="6"/>
        <v>11.27659960646956</v>
      </c>
      <c r="F21">
        <f t="shared" si="6"/>
        <v>11.690235222495822</v>
      </c>
      <c r="G21">
        <f t="shared" si="6"/>
        <v>11.980249561288275</v>
      </c>
      <c r="H21">
        <f t="shared" si="6"/>
        <v>11.47946928285792</v>
      </c>
      <c r="I21">
        <f t="shared" si="6"/>
        <v>12.078701262799235</v>
      </c>
      <c r="J21">
        <f t="shared" si="6"/>
        <v>11.594169548423228</v>
      </c>
      <c r="K21">
        <f t="shared" si="6"/>
        <v>12.441997754176413</v>
      </c>
      <c r="L21">
        <f t="shared" si="6"/>
        <v>11.535964345375618</v>
      </c>
      <c r="M21">
        <f t="shared" si="6"/>
        <v>11.633121381850401</v>
      </c>
      <c r="N21">
        <f t="shared" si="6"/>
        <v>9.2812457466326705</v>
      </c>
      <c r="O21">
        <f t="shared" si="6"/>
        <v>11.691610006616934</v>
      </c>
      <c r="P21">
        <f t="shared" si="6"/>
        <v>11.419150311919157</v>
      </c>
      <c r="Q21">
        <f t="shared" si="6"/>
        <v>12.199081068302281</v>
      </c>
      <c r="R21">
        <f t="shared" si="6"/>
        <v>11.464502389246206</v>
      </c>
      <c r="S21">
        <f t="shared" si="6"/>
        <v>12.093293266863157</v>
      </c>
    </row>
    <row r="22" spans="1:19" x14ac:dyDescent="0.25">
      <c r="A22">
        <v>16</v>
      </c>
      <c r="B22">
        <f t="shared" ref="B22:S22" si="7">B6*B$14+B$15</f>
        <v>16.479889020388224</v>
      </c>
      <c r="C22">
        <f t="shared" si="7"/>
        <v>16.511404145569518</v>
      </c>
      <c r="D22">
        <f t="shared" si="7"/>
        <v>16.825758720092502</v>
      </c>
      <c r="E22">
        <f t="shared" si="7"/>
        <v>16.691423581465145</v>
      </c>
      <c r="F22">
        <f t="shared" si="7"/>
        <v>17.537091246467405</v>
      </c>
      <c r="G22">
        <f t="shared" si="7"/>
        <v>17.445374280257084</v>
      </c>
      <c r="H22">
        <f t="shared" si="7"/>
        <v>16.940055773893363</v>
      </c>
      <c r="I22">
        <f t="shared" si="7"/>
        <v>16.923391604870169</v>
      </c>
      <c r="J22">
        <f t="shared" si="7"/>
        <v>15.135662605904848</v>
      </c>
      <c r="K22">
        <f t="shared" si="7"/>
        <v>18.051594735096344</v>
      </c>
      <c r="L22">
        <f t="shared" si="7"/>
        <v>17.789327776706415</v>
      </c>
      <c r="M22">
        <f t="shared" si="7"/>
        <v>18.107920013373246</v>
      </c>
      <c r="N22">
        <f t="shared" si="7"/>
        <v>12.723662262110913</v>
      </c>
      <c r="O22">
        <f t="shared" si="7"/>
        <v>17.438298484498212</v>
      </c>
      <c r="P22">
        <f t="shared" si="7"/>
        <v>14.291946711338822</v>
      </c>
      <c r="Q22">
        <f t="shared" si="7"/>
        <v>15.382891295709744</v>
      </c>
      <c r="R22">
        <f t="shared" si="7"/>
        <v>16.9999551944356</v>
      </c>
      <c r="S22">
        <f t="shared" si="7"/>
        <v>17.48016683853556</v>
      </c>
    </row>
    <row r="23" spans="1:19" x14ac:dyDescent="0.25">
      <c r="A23">
        <v>20</v>
      </c>
      <c r="B23">
        <f t="shared" ref="B23:S23" si="8">B7*B$14+B$15</f>
        <v>21.500545933922655</v>
      </c>
      <c r="C23">
        <f t="shared" si="8"/>
        <v>21.505061191099905</v>
      </c>
      <c r="D23">
        <f t="shared" si="8"/>
        <v>22.276667399929345</v>
      </c>
      <c r="E23">
        <f t="shared" si="8"/>
        <v>22.05368671426271</v>
      </c>
      <c r="F23">
        <f t="shared" si="8"/>
        <v>22.545692166730134</v>
      </c>
      <c r="G23">
        <f t="shared" si="8"/>
        <v>21.988275754867175</v>
      </c>
      <c r="H23">
        <f t="shared" si="8"/>
        <v>21.01326686599667</v>
      </c>
      <c r="I23">
        <f t="shared" si="8"/>
        <v>20.982534885799488</v>
      </c>
      <c r="J23">
        <f t="shared" si="8"/>
        <v>20.097201674829542</v>
      </c>
      <c r="K23">
        <f t="shared" si="8"/>
        <v>23.051568758755486</v>
      </c>
      <c r="L23">
        <f t="shared" si="8"/>
        <v>23.604091079336513</v>
      </c>
      <c r="M23">
        <f t="shared" si="8"/>
        <v>23.195114055157916</v>
      </c>
      <c r="N23">
        <f t="shared" si="8"/>
        <v>16.580582103309361</v>
      </c>
      <c r="O23">
        <f t="shared" si="8"/>
        <v>22.212527130844784</v>
      </c>
      <c r="P23">
        <f t="shared" si="8"/>
        <v>16.048982353741884</v>
      </c>
      <c r="Q23">
        <f t="shared" si="8"/>
        <v>18.77334478330393</v>
      </c>
      <c r="R23">
        <f t="shared" si="8"/>
        <v>22.046571246901138</v>
      </c>
      <c r="S23">
        <f t="shared" si="8"/>
        <v>21.683044365067843</v>
      </c>
    </row>
    <row r="24" spans="1:19" x14ac:dyDescent="0.25">
      <c r="A24">
        <v>30</v>
      </c>
      <c r="B24">
        <f t="shared" ref="B24:S24" si="9">B8*B$14+B$15</f>
        <v>30.495866179435922</v>
      </c>
      <c r="C24">
        <f t="shared" si="9"/>
        <v>32.562189317265386</v>
      </c>
      <c r="D24">
        <f t="shared" si="9"/>
        <v>33.702211826906499</v>
      </c>
      <c r="E24">
        <f t="shared" si="9"/>
        <v>34.072838261204311</v>
      </c>
      <c r="F24">
        <f t="shared" si="9"/>
        <v>35.069223557842911</v>
      </c>
      <c r="G24">
        <f t="shared" si="9"/>
        <v>34.999305177506429</v>
      </c>
      <c r="H24">
        <f t="shared" si="9"/>
        <v>30.794048642712454</v>
      </c>
      <c r="I24">
        <f t="shared" si="9"/>
        <v>32.174892229973089</v>
      </c>
      <c r="J24">
        <f t="shared" si="9"/>
        <v>31.916727919308244</v>
      </c>
      <c r="K24">
        <f t="shared" si="9"/>
        <v>35.246681726216345</v>
      </c>
      <c r="L24">
        <f t="shared" si="9"/>
        <v>35.67324940048033</v>
      </c>
      <c r="M24">
        <f t="shared" si="9"/>
        <v>35.936016065004026</v>
      </c>
      <c r="N24">
        <f t="shared" si="9"/>
        <v>28.505276739329183</v>
      </c>
      <c r="O24">
        <f t="shared" si="9"/>
        <v>33.514927927076144</v>
      </c>
      <c r="P24">
        <f t="shared" si="9"/>
        <v>20.74087636994226</v>
      </c>
      <c r="Q24">
        <f t="shared" si="9"/>
        <v>26.440393833743776</v>
      </c>
      <c r="R24">
        <f t="shared" si="9"/>
        <v>34.486934330255536</v>
      </c>
      <c r="S24">
        <f t="shared" si="9"/>
        <v>33.412399947731167</v>
      </c>
    </row>
    <row r="25" spans="1:19" x14ac:dyDescent="0.25">
      <c r="A25">
        <v>40</v>
      </c>
      <c r="B25">
        <f t="shared" ref="B25:S25" si="10">B9*B$14+B$15</f>
        <v>43.057066536416542</v>
      </c>
      <c r="C25">
        <f t="shared" si="10"/>
        <v>42.618619086114158</v>
      </c>
      <c r="D25">
        <f t="shared" si="10"/>
        <v>45.297031113805623</v>
      </c>
      <c r="E25">
        <f t="shared" si="10"/>
        <v>45.717646294881391</v>
      </c>
      <c r="F25">
        <f t="shared" si="10"/>
        <v>44.97022547161729</v>
      </c>
      <c r="G25">
        <f t="shared" si="10"/>
        <v>46.415560918619107</v>
      </c>
      <c r="H25">
        <f t="shared" si="10"/>
        <v>42.657130717013345</v>
      </c>
      <c r="I25">
        <f t="shared" si="10"/>
        <v>42.835362704874065</v>
      </c>
      <c r="J25">
        <f t="shared" si="10"/>
        <v>44.58740002814924</v>
      </c>
      <c r="K25">
        <f t="shared" si="10"/>
        <v>45.54930238918525</v>
      </c>
      <c r="L25">
        <f t="shared" si="10"/>
        <v>46.464371626618998</v>
      </c>
      <c r="M25">
        <f t="shared" si="10"/>
        <v>48.742950423307178</v>
      </c>
      <c r="N25">
        <f t="shared" si="10"/>
        <v>44.435373416163053</v>
      </c>
      <c r="O25">
        <f t="shared" si="10"/>
        <v>44.640056293842804</v>
      </c>
      <c r="P25">
        <f t="shared" si="10"/>
        <v>33.990689262163357</v>
      </c>
      <c r="Q25">
        <f t="shared" si="10"/>
        <v>36.756968767851269</v>
      </c>
      <c r="R25">
        <f t="shared" si="10"/>
        <v>45.979934651428522</v>
      </c>
      <c r="S25">
        <f t="shared" si="10"/>
        <v>45.638608102275278</v>
      </c>
    </row>
    <row r="26" spans="1:19" x14ac:dyDescent="0.25">
      <c r="A26">
        <v>60</v>
      </c>
      <c r="B26">
        <f t="shared" ref="B26:S26" si="11">B10*B$14+B$15</f>
        <v>61.016873134346078</v>
      </c>
      <c r="C26">
        <f t="shared" si="11"/>
        <v>61.030581500443596</v>
      </c>
      <c r="D26">
        <f t="shared" si="11"/>
        <v>63.0596587341686</v>
      </c>
      <c r="E26">
        <f t="shared" si="11"/>
        <v>63.666795266186597</v>
      </c>
      <c r="F26">
        <f t="shared" si="11"/>
        <v>61.572640729411837</v>
      </c>
      <c r="G26">
        <f t="shared" si="11"/>
        <v>64.452385945709779</v>
      </c>
      <c r="H26">
        <f t="shared" si="11"/>
        <v>61.230631733559278</v>
      </c>
      <c r="I26">
        <f t="shared" si="11"/>
        <v>60.450798023767383</v>
      </c>
      <c r="J26">
        <f t="shared" si="11"/>
        <v>62.217433278089089</v>
      </c>
      <c r="K26">
        <f t="shared" si="11"/>
        <v>62.724089645411091</v>
      </c>
      <c r="L26">
        <f t="shared" si="11"/>
        <v>61.990005788750437</v>
      </c>
      <c r="M26">
        <f t="shared" si="11"/>
        <v>64.388293750418825</v>
      </c>
      <c r="N26">
        <f t="shared" si="11"/>
        <v>64.987396462059394</v>
      </c>
      <c r="O26">
        <f t="shared" si="11"/>
        <v>63.12526750908728</v>
      </c>
      <c r="P26">
        <f t="shared" si="11"/>
        <v>56.42434062953356</v>
      </c>
      <c r="Q26">
        <f t="shared" si="11"/>
        <v>58.365567843722701</v>
      </c>
      <c r="R26">
        <f t="shared" si="11"/>
        <v>62.839969477385267</v>
      </c>
      <c r="S26">
        <f t="shared" si="11"/>
        <v>61.284859229232787</v>
      </c>
    </row>
    <row r="27" spans="1:19" x14ac:dyDescent="0.25">
      <c r="A27">
        <v>80</v>
      </c>
      <c r="B27">
        <f t="shared" ref="B27:S27" si="12">B11*B$14+B$15</f>
        <v>79.590881454655943</v>
      </c>
      <c r="C27">
        <f t="shared" si="12"/>
        <v>80.616745798354145</v>
      </c>
      <c r="D27">
        <f t="shared" si="12"/>
        <v>78.680008050908469</v>
      </c>
      <c r="E27">
        <f t="shared" si="12"/>
        <v>79.283529063315882</v>
      </c>
      <c r="F27">
        <f t="shared" si="12"/>
        <v>78.881497205650533</v>
      </c>
      <c r="G27">
        <f t="shared" si="12"/>
        <v>79.001286315279884</v>
      </c>
      <c r="H27">
        <f t="shared" si="12"/>
        <v>79.538054642967779</v>
      </c>
      <c r="I27">
        <f t="shared" si="12"/>
        <v>80.020211379804181</v>
      </c>
      <c r="J27">
        <f t="shared" si="12"/>
        <v>78.474513822343411</v>
      </c>
      <c r="K27">
        <f t="shared" si="12"/>
        <v>78.468920144953358</v>
      </c>
      <c r="L27">
        <f t="shared" si="12"/>
        <v>77.911216628497584</v>
      </c>
      <c r="M27">
        <f t="shared" si="12"/>
        <v>77.723376076485181</v>
      </c>
      <c r="N27">
        <f t="shared" si="12"/>
        <v>80.652637608186353</v>
      </c>
      <c r="O27">
        <f t="shared" si="12"/>
        <v>78.489157433891975</v>
      </c>
      <c r="P27">
        <f t="shared" si="12"/>
        <v>82.163783740854115</v>
      </c>
      <c r="Q27">
        <f t="shared" si="12"/>
        <v>80.747306105318387</v>
      </c>
      <c r="R27">
        <f t="shared" si="12"/>
        <v>78.702810636835522</v>
      </c>
      <c r="S27">
        <f t="shared" si="12"/>
        <v>79.756498041196124</v>
      </c>
    </row>
    <row r="28" spans="1:19" x14ac:dyDescent="0.25">
      <c r="A28">
        <v>100</v>
      </c>
      <c r="B28">
        <f t="shared" ref="B28:S28" si="13">B12*B$14+B$15</f>
        <v>97.944799275926727</v>
      </c>
      <c r="C28">
        <f t="shared" si="13"/>
        <v>96.593157261513994</v>
      </c>
      <c r="D28">
        <f t="shared" si="13"/>
        <v>94.577687626745472</v>
      </c>
      <c r="E28">
        <f t="shared" si="13"/>
        <v>93.392310126124244</v>
      </c>
      <c r="F28">
        <f t="shared" si="13"/>
        <v>94.818242706674084</v>
      </c>
      <c r="G28">
        <f t="shared" si="13"/>
        <v>91.792543728200258</v>
      </c>
      <c r="H28">
        <f t="shared" si="13"/>
        <v>98.029139242642714</v>
      </c>
      <c r="I28">
        <f t="shared" si="13"/>
        <v>97.459954189437269</v>
      </c>
      <c r="J28">
        <f t="shared" si="13"/>
        <v>97.287572851198092</v>
      </c>
      <c r="K28">
        <f t="shared" si="13"/>
        <v>93.426557103540603</v>
      </c>
      <c r="L28">
        <f t="shared" si="13"/>
        <v>93.822342211619031</v>
      </c>
      <c r="M28">
        <f t="shared" si="13"/>
        <v>90.487134599352913</v>
      </c>
      <c r="N28">
        <f t="shared" si="13"/>
        <v>95.4755584068823</v>
      </c>
      <c r="O28">
        <f t="shared" si="13"/>
        <v>95.019517061099862</v>
      </c>
      <c r="P28">
        <f t="shared" si="13"/>
        <v>102.93199595541938</v>
      </c>
      <c r="Q28">
        <f t="shared" si="13"/>
        <v>102.36042074730932</v>
      </c>
      <c r="R28">
        <f t="shared" si="13"/>
        <v>94.090205231913416</v>
      </c>
      <c r="S28">
        <f t="shared" si="13"/>
        <v>94.749089507335071</v>
      </c>
    </row>
    <row r="30" spans="1:19" x14ac:dyDescent="0.25">
      <c r="A30">
        <v>0</v>
      </c>
      <c r="B30">
        <f>ABS(B18-$A18)</f>
        <v>1.2599081045109166</v>
      </c>
      <c r="C30">
        <f t="shared" ref="C30:S30" si="14">ABS(C18-$A18)</f>
        <v>1.2164343336862746</v>
      </c>
      <c r="D30">
        <f t="shared" si="14"/>
        <v>3.5869414931031756</v>
      </c>
      <c r="E30">
        <f t="shared" si="14"/>
        <v>2.6977225526983801</v>
      </c>
      <c r="F30">
        <f t="shared" si="14"/>
        <v>3.6994258117514001</v>
      </c>
      <c r="G30">
        <f t="shared" si="14"/>
        <v>4.2152382788041365</v>
      </c>
      <c r="H30">
        <f t="shared" si="14"/>
        <v>0.42392041384505319</v>
      </c>
      <c r="I30">
        <f t="shared" si="14"/>
        <v>1.8477732845559984</v>
      </c>
      <c r="J30">
        <f t="shared" si="14"/>
        <v>1.743353349136342</v>
      </c>
      <c r="K30">
        <f t="shared" si="14"/>
        <v>5.0664716588489043</v>
      </c>
      <c r="L30">
        <f t="shared" si="14"/>
        <v>4.2832803372378123</v>
      </c>
      <c r="M30">
        <f t="shared" si="14"/>
        <v>4.525148546903111</v>
      </c>
      <c r="N30">
        <f t="shared" si="14"/>
        <v>4.5836685660784013</v>
      </c>
      <c r="O30">
        <f t="shared" si="14"/>
        <v>3.6803875905191603</v>
      </c>
      <c r="P30">
        <f t="shared" si="14"/>
        <v>10.64599999421551</v>
      </c>
      <c r="Q30">
        <f t="shared" si="14"/>
        <v>4.8370213576903307</v>
      </c>
      <c r="R30">
        <f t="shared" si="14"/>
        <v>3.1863631333867772</v>
      </c>
      <c r="S30">
        <f t="shared" si="14"/>
        <v>3.9646389986262314</v>
      </c>
    </row>
    <row r="31" spans="1:19" x14ac:dyDescent="0.25">
      <c r="A31">
        <v>4</v>
      </c>
      <c r="B31">
        <f t="shared" ref="B31:S31" si="15">ABS(B19-$A19)</f>
        <v>1.3820246719300489</v>
      </c>
      <c r="C31">
        <f t="shared" si="15"/>
        <v>1.6694004485691138</v>
      </c>
      <c r="D31">
        <f t="shared" si="15"/>
        <v>2.7247639049422716</v>
      </c>
      <c r="E31">
        <f t="shared" si="15"/>
        <v>3.1756862187138921</v>
      </c>
      <c r="F31">
        <f t="shared" si="15"/>
        <v>3.541072200078375</v>
      </c>
      <c r="G31">
        <f t="shared" si="15"/>
        <v>3.6743896165031487</v>
      </c>
      <c r="H31">
        <f t="shared" si="15"/>
        <v>1.5271470748503617</v>
      </c>
      <c r="I31">
        <f t="shared" si="15"/>
        <v>1.6292021010422317</v>
      </c>
      <c r="J31">
        <f t="shared" si="15"/>
        <v>0.98550530538831893</v>
      </c>
      <c r="K31">
        <f t="shared" si="15"/>
        <v>3.8396368715774045</v>
      </c>
      <c r="L31">
        <f t="shared" si="15"/>
        <v>4.0158878850705833</v>
      </c>
      <c r="M31">
        <f t="shared" si="15"/>
        <v>4.5464496440015694</v>
      </c>
      <c r="N31">
        <f t="shared" si="15"/>
        <v>1.8331284793093729</v>
      </c>
      <c r="O31">
        <f t="shared" si="15"/>
        <v>2.6819985240172315</v>
      </c>
      <c r="P31">
        <f t="shared" si="15"/>
        <v>6.6460404956616852</v>
      </c>
      <c r="Q31">
        <f t="shared" si="15"/>
        <v>1.6502504153454662</v>
      </c>
      <c r="R31">
        <f t="shared" si="15"/>
        <v>3.0699574692345521</v>
      </c>
      <c r="S31">
        <f t="shared" si="15"/>
        <v>2.7822965936278266</v>
      </c>
    </row>
    <row r="32" spans="1:19" x14ac:dyDescent="0.25">
      <c r="A32">
        <v>8</v>
      </c>
      <c r="B32">
        <f t="shared" ref="B32:S32" si="16">ABS(B20-$A20)</f>
        <v>0.79873074243991837</v>
      </c>
      <c r="C32">
        <f t="shared" si="16"/>
        <v>2.1853965170390346</v>
      </c>
      <c r="D32">
        <f t="shared" si="16"/>
        <v>1.7688808316366007</v>
      </c>
      <c r="E32">
        <f t="shared" si="16"/>
        <v>2.2814201424977227</v>
      </c>
      <c r="F32">
        <f t="shared" si="16"/>
        <v>1.8443502950603801</v>
      </c>
      <c r="G32">
        <f t="shared" si="16"/>
        <v>2.1853537864208903</v>
      </c>
      <c r="H32">
        <f t="shared" si="16"/>
        <v>1.7307294129484916</v>
      </c>
      <c r="I32">
        <f t="shared" si="16"/>
        <v>1.4488708957266496</v>
      </c>
      <c r="J32">
        <f t="shared" si="16"/>
        <v>0.58182307372101505</v>
      </c>
      <c r="K32">
        <f t="shared" si="16"/>
        <v>2.0546037269085744</v>
      </c>
      <c r="L32">
        <f t="shared" si="16"/>
        <v>2.4914006350765732</v>
      </c>
      <c r="M32">
        <f t="shared" si="16"/>
        <v>3.1423281740450335</v>
      </c>
      <c r="N32">
        <f t="shared" si="16"/>
        <v>1.05852979006103</v>
      </c>
      <c r="O32">
        <f t="shared" si="16"/>
        <v>1.7689757324216124</v>
      </c>
      <c r="P32">
        <f t="shared" si="16"/>
        <v>2.6961941752102323</v>
      </c>
      <c r="Q32">
        <f t="shared" si="16"/>
        <v>0.48675378170281114</v>
      </c>
      <c r="R32">
        <f t="shared" si="16"/>
        <v>2.354562555780177</v>
      </c>
      <c r="S32">
        <f t="shared" si="16"/>
        <v>1.3510237059829393</v>
      </c>
    </row>
    <row r="33" spans="1:19" x14ac:dyDescent="0.25">
      <c r="A33">
        <v>12</v>
      </c>
      <c r="B33">
        <f t="shared" ref="B33:S33" si="17">ABS(B21-$A21)</f>
        <v>0.64525801621129375</v>
      </c>
      <c r="C33">
        <f t="shared" si="17"/>
        <v>0.36652700106625602</v>
      </c>
      <c r="D33">
        <f t="shared" si="17"/>
        <v>0.33843724287437738</v>
      </c>
      <c r="E33">
        <f t="shared" si="17"/>
        <v>0.72340039353044006</v>
      </c>
      <c r="F33">
        <f t="shared" si="17"/>
        <v>0.30976477750417786</v>
      </c>
      <c r="G33">
        <f t="shared" si="17"/>
        <v>1.9750438711724883E-2</v>
      </c>
      <c r="H33">
        <f t="shared" si="17"/>
        <v>0.52053071714207988</v>
      </c>
      <c r="I33">
        <f t="shared" si="17"/>
        <v>7.8701262799235394E-2</v>
      </c>
      <c r="J33">
        <f t="shared" si="17"/>
        <v>0.40583045157677233</v>
      </c>
      <c r="K33">
        <f t="shared" si="17"/>
        <v>0.44199775417641263</v>
      </c>
      <c r="L33">
        <f t="shared" si="17"/>
        <v>0.46403565462438223</v>
      </c>
      <c r="M33">
        <f t="shared" si="17"/>
        <v>0.36687861814959888</v>
      </c>
      <c r="N33">
        <f t="shared" si="17"/>
        <v>2.7187542533673295</v>
      </c>
      <c r="O33">
        <f t="shared" si="17"/>
        <v>0.3083899933830665</v>
      </c>
      <c r="P33">
        <f t="shared" si="17"/>
        <v>0.5808496880808427</v>
      </c>
      <c r="Q33">
        <f t="shared" si="17"/>
        <v>0.19908106830228078</v>
      </c>
      <c r="R33">
        <f t="shared" si="17"/>
        <v>0.53549761075379365</v>
      </c>
      <c r="S33">
        <f t="shared" si="17"/>
        <v>9.3293266863156532E-2</v>
      </c>
    </row>
    <row r="34" spans="1:19" x14ac:dyDescent="0.25">
      <c r="A34">
        <v>16</v>
      </c>
      <c r="B34">
        <f t="shared" ref="B34:S34" si="18">ABS(B22-$A22)</f>
        <v>0.47988902038822445</v>
      </c>
      <c r="C34">
        <f t="shared" si="18"/>
        <v>0.51140414556951796</v>
      </c>
      <c r="D34">
        <f t="shared" si="18"/>
        <v>0.82575872009250162</v>
      </c>
      <c r="E34">
        <f t="shared" si="18"/>
        <v>0.69142358146514482</v>
      </c>
      <c r="F34">
        <f t="shared" si="18"/>
        <v>1.5370912464674049</v>
      </c>
      <c r="G34">
        <f t="shared" si="18"/>
        <v>1.4453742802570844</v>
      </c>
      <c r="H34">
        <f t="shared" si="18"/>
        <v>0.94005577389336281</v>
      </c>
      <c r="I34">
        <f t="shared" si="18"/>
        <v>0.92339160487016869</v>
      </c>
      <c r="J34">
        <f t="shared" si="18"/>
        <v>0.86433739409515198</v>
      </c>
      <c r="K34">
        <f t="shared" si="18"/>
        <v>2.0515947350963444</v>
      </c>
      <c r="L34">
        <f t="shared" si="18"/>
        <v>1.7893277767064149</v>
      </c>
      <c r="M34">
        <f t="shared" si="18"/>
        <v>2.1079200133732456</v>
      </c>
      <c r="N34">
        <f t="shared" si="18"/>
        <v>3.2763377378890866</v>
      </c>
      <c r="O34">
        <f t="shared" si="18"/>
        <v>1.4382984844982118</v>
      </c>
      <c r="P34">
        <f t="shared" si="18"/>
        <v>1.7080532886611781</v>
      </c>
      <c r="Q34">
        <f t="shared" si="18"/>
        <v>0.61710870429025633</v>
      </c>
      <c r="R34">
        <f t="shared" si="18"/>
        <v>0.99995519443559999</v>
      </c>
      <c r="S34">
        <f t="shared" si="18"/>
        <v>1.4801668385355597</v>
      </c>
    </row>
    <row r="35" spans="1:19" x14ac:dyDescent="0.25">
      <c r="A35">
        <v>20</v>
      </c>
      <c r="B35">
        <f t="shared" ref="B35:S35" si="19">ABS(B23-$A23)</f>
        <v>1.5005459339226555</v>
      </c>
      <c r="C35">
        <f t="shared" si="19"/>
        <v>1.5050611910999052</v>
      </c>
      <c r="D35">
        <f t="shared" si="19"/>
        <v>2.2766673999293445</v>
      </c>
      <c r="E35">
        <f t="shared" si="19"/>
        <v>2.0536867142627102</v>
      </c>
      <c r="F35">
        <f t="shared" si="19"/>
        <v>2.5456921667301344</v>
      </c>
      <c r="G35">
        <f t="shared" si="19"/>
        <v>1.9882757548671748</v>
      </c>
      <c r="H35">
        <f t="shared" si="19"/>
        <v>1.0132668659966697</v>
      </c>
      <c r="I35">
        <f t="shared" si="19"/>
        <v>0.98253488579948822</v>
      </c>
      <c r="J35">
        <f t="shared" si="19"/>
        <v>9.7201674829541673E-2</v>
      </c>
      <c r="K35">
        <f t="shared" si="19"/>
        <v>3.0515687587554865</v>
      </c>
      <c r="L35">
        <f t="shared" si="19"/>
        <v>3.6040910793365128</v>
      </c>
      <c r="M35">
        <f t="shared" si="19"/>
        <v>3.1951140551579158</v>
      </c>
      <c r="N35">
        <f t="shared" si="19"/>
        <v>3.4194178966906392</v>
      </c>
      <c r="O35">
        <f t="shared" si="19"/>
        <v>2.2125271308447836</v>
      </c>
      <c r="P35">
        <f t="shared" si="19"/>
        <v>3.9510176462581157</v>
      </c>
      <c r="Q35">
        <f t="shared" si="19"/>
        <v>1.22665521669607</v>
      </c>
      <c r="R35">
        <f t="shared" si="19"/>
        <v>2.0465712469011379</v>
      </c>
      <c r="S35">
        <f t="shared" si="19"/>
        <v>1.6830443650678433</v>
      </c>
    </row>
    <row r="36" spans="1:19" x14ac:dyDescent="0.25">
      <c r="A36">
        <v>30</v>
      </c>
      <c r="B36">
        <f t="shared" ref="B36:S36" si="20">ABS(B24-$A24)</f>
        <v>0.49586617943592159</v>
      </c>
      <c r="C36">
        <f t="shared" si="20"/>
        <v>2.5621893172653856</v>
      </c>
      <c r="D36">
        <f t="shared" si="20"/>
        <v>3.702211826906499</v>
      </c>
      <c r="E36">
        <f t="shared" si="20"/>
        <v>4.0728382612043106</v>
      </c>
      <c r="F36">
        <f t="shared" si="20"/>
        <v>5.0692235578429106</v>
      </c>
      <c r="G36">
        <f t="shared" si="20"/>
        <v>4.9993051775064288</v>
      </c>
      <c r="H36">
        <f t="shared" si="20"/>
        <v>0.79404864271245401</v>
      </c>
      <c r="I36">
        <f t="shared" si="20"/>
        <v>2.1748922299730893</v>
      </c>
      <c r="J36">
        <f t="shared" si="20"/>
        <v>1.9167279193082436</v>
      </c>
      <c r="K36">
        <f t="shared" si="20"/>
        <v>5.2466817262163445</v>
      </c>
      <c r="L36">
        <f t="shared" si="20"/>
        <v>5.67324940048033</v>
      </c>
      <c r="M36">
        <f t="shared" si="20"/>
        <v>5.9360160650040257</v>
      </c>
      <c r="N36">
        <f t="shared" si="20"/>
        <v>1.494723260670817</v>
      </c>
      <c r="O36">
        <f t="shared" si="20"/>
        <v>3.514927927076144</v>
      </c>
      <c r="P36">
        <f t="shared" si="20"/>
        <v>9.25912363005774</v>
      </c>
      <c r="Q36">
        <f t="shared" si="20"/>
        <v>3.5596061662562235</v>
      </c>
      <c r="R36">
        <f t="shared" si="20"/>
        <v>4.4869343302555365</v>
      </c>
      <c r="S36">
        <f t="shared" si="20"/>
        <v>3.4123999477311671</v>
      </c>
    </row>
    <row r="37" spans="1:19" x14ac:dyDescent="0.25">
      <c r="A37">
        <v>40</v>
      </c>
      <c r="B37">
        <f t="shared" ref="B37:S37" si="21">ABS(B25-$A25)</f>
        <v>3.0570665364165421</v>
      </c>
      <c r="C37">
        <f t="shared" si="21"/>
        <v>2.6186190861141583</v>
      </c>
      <c r="D37">
        <f t="shared" si="21"/>
        <v>5.2970311138056232</v>
      </c>
      <c r="E37">
        <f t="shared" si="21"/>
        <v>5.7176462948813906</v>
      </c>
      <c r="F37">
        <f t="shared" si="21"/>
        <v>4.9702254716172902</v>
      </c>
      <c r="G37">
        <f t="shared" si="21"/>
        <v>6.4155609186191072</v>
      </c>
      <c r="H37">
        <f t="shared" si="21"/>
        <v>2.6571307170133451</v>
      </c>
      <c r="I37">
        <f t="shared" si="21"/>
        <v>2.8353627048740648</v>
      </c>
      <c r="J37">
        <f t="shared" si="21"/>
        <v>4.58740002814924</v>
      </c>
      <c r="K37">
        <f t="shared" si="21"/>
        <v>5.5493023891852502</v>
      </c>
      <c r="L37">
        <f t="shared" si="21"/>
        <v>6.4643716266189983</v>
      </c>
      <c r="M37">
        <f t="shared" si="21"/>
        <v>8.7429504233071782</v>
      </c>
      <c r="N37">
        <f t="shared" si="21"/>
        <v>4.4353734161630527</v>
      </c>
      <c r="O37">
        <f t="shared" si="21"/>
        <v>4.6400562938428038</v>
      </c>
      <c r="P37">
        <f t="shared" si="21"/>
        <v>6.0093107378366426</v>
      </c>
      <c r="Q37">
        <f t="shared" si="21"/>
        <v>3.2430312321487307</v>
      </c>
      <c r="R37">
        <f t="shared" si="21"/>
        <v>5.9799346514285219</v>
      </c>
      <c r="S37">
        <f t="shared" si="21"/>
        <v>5.6386081022752776</v>
      </c>
    </row>
    <row r="38" spans="1:19" x14ac:dyDescent="0.25">
      <c r="A38">
        <v>60</v>
      </c>
      <c r="B38">
        <f t="shared" ref="B38:S38" si="22">ABS(B26-$A26)</f>
        <v>1.0168731343460777</v>
      </c>
      <c r="C38">
        <f t="shared" si="22"/>
        <v>1.0305815004435956</v>
      </c>
      <c r="D38">
        <f t="shared" si="22"/>
        <v>3.0596587341686003</v>
      </c>
      <c r="E38">
        <f t="shared" si="22"/>
        <v>3.6667952661865968</v>
      </c>
      <c r="F38">
        <f t="shared" si="22"/>
        <v>1.5726407294118374</v>
      </c>
      <c r="G38">
        <f t="shared" si="22"/>
        <v>4.4523859457097785</v>
      </c>
      <c r="H38">
        <f t="shared" si="22"/>
        <v>1.230631733559278</v>
      </c>
      <c r="I38">
        <f t="shared" si="22"/>
        <v>0.45079802376738343</v>
      </c>
      <c r="J38">
        <f t="shared" si="22"/>
        <v>2.2174332780890893</v>
      </c>
      <c r="K38">
        <f t="shared" si="22"/>
        <v>2.724089645411091</v>
      </c>
      <c r="L38">
        <f t="shared" si="22"/>
        <v>1.9900057887504374</v>
      </c>
      <c r="M38">
        <f t="shared" si="22"/>
        <v>4.3882937504188249</v>
      </c>
      <c r="N38">
        <f t="shared" si="22"/>
        <v>4.9873964620593938</v>
      </c>
      <c r="O38">
        <f t="shared" si="22"/>
        <v>3.1252675090872799</v>
      </c>
      <c r="P38">
        <f t="shared" si="22"/>
        <v>3.5756593704664397</v>
      </c>
      <c r="Q38">
        <f t="shared" si="22"/>
        <v>1.634432156277299</v>
      </c>
      <c r="R38">
        <f t="shared" si="22"/>
        <v>2.8399694773852673</v>
      </c>
      <c r="S38">
        <f t="shared" si="22"/>
        <v>1.2848592292327865</v>
      </c>
    </row>
    <row r="39" spans="1:19" x14ac:dyDescent="0.25">
      <c r="A39">
        <v>80</v>
      </c>
      <c r="B39">
        <f t="shared" ref="B39:S39" si="23">ABS(B27-$A27)</f>
        <v>0.40911854534405734</v>
      </c>
      <c r="C39">
        <f t="shared" si="23"/>
        <v>0.61674579835414534</v>
      </c>
      <c r="D39">
        <f t="shared" si="23"/>
        <v>1.3199919490915306</v>
      </c>
      <c r="E39">
        <f t="shared" si="23"/>
        <v>0.71647093668411799</v>
      </c>
      <c r="F39">
        <f t="shared" si="23"/>
        <v>1.1185027943494674</v>
      </c>
      <c r="G39">
        <f t="shared" si="23"/>
        <v>0.99871368472011568</v>
      </c>
      <c r="H39">
        <f t="shared" si="23"/>
        <v>0.46194535703222073</v>
      </c>
      <c r="I39">
        <f t="shared" si="23"/>
        <v>2.0211379804180751E-2</v>
      </c>
      <c r="J39">
        <f t="shared" si="23"/>
        <v>1.5254861776565889</v>
      </c>
      <c r="K39">
        <f t="shared" si="23"/>
        <v>1.5310798550466416</v>
      </c>
      <c r="L39">
        <f t="shared" si="23"/>
        <v>2.0887833715024158</v>
      </c>
      <c r="M39">
        <f t="shared" si="23"/>
        <v>2.2766239235148191</v>
      </c>
      <c r="N39">
        <f t="shared" si="23"/>
        <v>0.65263760818635319</v>
      </c>
      <c r="O39">
        <f t="shared" si="23"/>
        <v>1.5108425661080247</v>
      </c>
      <c r="P39">
        <f t="shared" si="23"/>
        <v>2.1637837408541145</v>
      </c>
      <c r="Q39">
        <f t="shared" si="23"/>
        <v>0.74730610531838693</v>
      </c>
      <c r="R39">
        <f t="shared" si="23"/>
        <v>1.2971893631644775</v>
      </c>
      <c r="S39">
        <f t="shared" si="23"/>
        <v>0.2435019588038756</v>
      </c>
    </row>
    <row r="40" spans="1:19" x14ac:dyDescent="0.25">
      <c r="A40">
        <v>100</v>
      </c>
      <c r="B40">
        <f t="shared" ref="B40:S40" si="24">ABS(B28-$A28)</f>
        <v>2.0552007240732735</v>
      </c>
      <c r="C40">
        <f t="shared" si="24"/>
        <v>3.4068427384860058</v>
      </c>
      <c r="D40">
        <f t="shared" si="24"/>
        <v>5.4223123732545275</v>
      </c>
      <c r="E40">
        <f t="shared" si="24"/>
        <v>6.6076898738757563</v>
      </c>
      <c r="F40">
        <f t="shared" si="24"/>
        <v>5.1817572933259157</v>
      </c>
      <c r="G40">
        <f t="shared" si="24"/>
        <v>8.2074562717997424</v>
      </c>
      <c r="H40">
        <f t="shared" si="24"/>
        <v>1.9708607573572863</v>
      </c>
      <c r="I40">
        <f t="shared" si="24"/>
        <v>2.5400458105627308</v>
      </c>
      <c r="J40">
        <f t="shared" si="24"/>
        <v>2.7124271488019076</v>
      </c>
      <c r="K40">
        <f t="shared" si="24"/>
        <v>6.5734428964593974</v>
      </c>
      <c r="L40">
        <f t="shared" si="24"/>
        <v>6.1776577883809694</v>
      </c>
      <c r="M40">
        <f t="shared" si="24"/>
        <v>9.5128654006470867</v>
      </c>
      <c r="N40">
        <f t="shared" si="24"/>
        <v>4.5244415931177002</v>
      </c>
      <c r="O40">
        <f t="shared" si="24"/>
        <v>4.9804829389001384</v>
      </c>
      <c r="P40">
        <f t="shared" si="24"/>
        <v>2.9319959554193815</v>
      </c>
      <c r="Q40">
        <f t="shared" si="24"/>
        <v>2.3604207473093197</v>
      </c>
      <c r="R40">
        <f t="shared" si="24"/>
        <v>5.9097947680865843</v>
      </c>
      <c r="S40">
        <f t="shared" si="24"/>
        <v>5.2509104926649286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D7C7-183E-4C7A-9852-E16D1023E988}">
  <dimension ref="A1:S40"/>
  <sheetViews>
    <sheetView topLeftCell="A7" workbookViewId="0">
      <selection activeCell="B16" sqref="B16:S1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13.944648980576853</v>
      </c>
      <c r="C2">
        <v>54.511620350709094</v>
      </c>
      <c r="D2">
        <v>292.67785358360516</v>
      </c>
      <c r="E2">
        <v>477.24659513484761</v>
      </c>
      <c r="F2">
        <v>137.50194374093127</v>
      </c>
      <c r="G2">
        <v>374.87741145702387</v>
      </c>
      <c r="H2">
        <v>488.00946734883536</v>
      </c>
      <c r="I2">
        <v>374.02329215692953</v>
      </c>
      <c r="J2">
        <v>81.035467277798844</v>
      </c>
      <c r="K2">
        <v>254.95891566562429</v>
      </c>
      <c r="L2">
        <v>605.14075858290857</v>
      </c>
      <c r="M2">
        <v>301.11249494886539</v>
      </c>
      <c r="N2">
        <v>495.80530782337661</v>
      </c>
      <c r="O2">
        <v>119.76311795583797</v>
      </c>
      <c r="P2">
        <v>2.9696069607841689</v>
      </c>
      <c r="Q2">
        <v>24.714940203879276</v>
      </c>
      <c r="R2">
        <v>600.63013656202531</v>
      </c>
      <c r="S2">
        <v>192.80822123342745</v>
      </c>
    </row>
    <row r="3" spans="1:19" x14ac:dyDescent="0.25">
      <c r="A3">
        <v>4</v>
      </c>
      <c r="B3">
        <v>30.15385040892188</v>
      </c>
      <c r="C3">
        <v>99.119636836022011</v>
      </c>
      <c r="D3">
        <v>349.79634438092449</v>
      </c>
      <c r="E3">
        <v>562.23870249069216</v>
      </c>
      <c r="F3">
        <v>185.08134645230794</v>
      </c>
      <c r="G3">
        <v>442.48292562229614</v>
      </c>
      <c r="H3">
        <v>515.20861068514125</v>
      </c>
      <c r="I3">
        <v>425.50141568864802</v>
      </c>
      <c r="J3">
        <v>108.39362769564332</v>
      </c>
      <c r="K3">
        <v>325.34631272636562</v>
      </c>
      <c r="L3">
        <v>673.12968178784274</v>
      </c>
      <c r="M3">
        <v>350.54991086025694</v>
      </c>
      <c r="N3">
        <v>511.78175014438278</v>
      </c>
      <c r="O3">
        <v>179.96071364631615</v>
      </c>
      <c r="P3">
        <v>3.3234958174367581</v>
      </c>
      <c r="Q3">
        <v>38.169021088922932</v>
      </c>
      <c r="R3">
        <v>667.33506338570464</v>
      </c>
      <c r="S3">
        <v>279.07630669121482</v>
      </c>
    </row>
    <row r="4" spans="1:19" x14ac:dyDescent="0.25">
      <c r="A4">
        <v>8</v>
      </c>
      <c r="B4">
        <v>70.371873031312234</v>
      </c>
      <c r="C4">
        <v>138.60160027788069</v>
      </c>
      <c r="D4">
        <v>396.39082016336926</v>
      </c>
      <c r="E4">
        <v>614.81790966505366</v>
      </c>
      <c r="F4">
        <v>232.68078183607969</v>
      </c>
      <c r="G4">
        <v>486.02126603148452</v>
      </c>
      <c r="H4">
        <v>540.80913561405202</v>
      </c>
      <c r="I4">
        <v>475.05080382157104</v>
      </c>
      <c r="J4">
        <v>140.92386132916863</v>
      </c>
      <c r="K4">
        <v>384.85904002732866</v>
      </c>
      <c r="L4">
        <v>723.05470795780184</v>
      </c>
      <c r="M4">
        <v>386.01014397930766</v>
      </c>
      <c r="N4">
        <v>528.93159937835776</v>
      </c>
      <c r="O4">
        <v>244.33722749230589</v>
      </c>
      <c r="P4">
        <v>3.0502806383739691</v>
      </c>
      <c r="Q4">
        <v>58.873303484466156</v>
      </c>
      <c r="R4">
        <v>710.4423162657082</v>
      </c>
      <c r="S4">
        <v>342.65922193545975</v>
      </c>
    </row>
    <row r="5" spans="1:19" x14ac:dyDescent="0.25">
      <c r="A5">
        <v>12</v>
      </c>
      <c r="B5">
        <v>117.89656263592866</v>
      </c>
      <c r="C5">
        <v>196.51736617148225</v>
      </c>
      <c r="D5">
        <v>444.58256095379016</v>
      </c>
      <c r="E5">
        <v>666.2330195286645</v>
      </c>
      <c r="F5">
        <v>287.63804683786452</v>
      </c>
      <c r="G5">
        <v>533.51855548509934</v>
      </c>
      <c r="H5">
        <v>583.59879419411197</v>
      </c>
      <c r="I5">
        <v>526.52505429974451</v>
      </c>
      <c r="J5">
        <v>182.64881851859633</v>
      </c>
      <c r="K5">
        <v>451.6032365069554</v>
      </c>
      <c r="L5">
        <v>778.78655149776046</v>
      </c>
      <c r="M5">
        <v>420.72797911662985</v>
      </c>
      <c r="N5">
        <v>554.85057377251019</v>
      </c>
      <c r="O5">
        <v>336.05135931447484</v>
      </c>
      <c r="P5">
        <v>7.2043559601387734</v>
      </c>
      <c r="Q5">
        <v>85.025341989821953</v>
      </c>
      <c r="R5">
        <v>757.37096327430322</v>
      </c>
      <c r="S5">
        <v>413.91542704685764</v>
      </c>
    </row>
    <row r="6" spans="1:19" x14ac:dyDescent="0.25">
      <c r="A6">
        <v>16</v>
      </c>
      <c r="B6">
        <v>167.39941783280193</v>
      </c>
      <c r="C6">
        <v>253.97273285275992</v>
      </c>
      <c r="D6">
        <v>493.09496834254821</v>
      </c>
      <c r="E6">
        <v>716.66939077318625</v>
      </c>
      <c r="F6">
        <v>339.37001107621921</v>
      </c>
      <c r="G6">
        <v>577.21496119455685</v>
      </c>
      <c r="H6">
        <v>622.06993158035289</v>
      </c>
      <c r="I6">
        <v>574.11359944185597</v>
      </c>
      <c r="J6">
        <v>224.22556813728221</v>
      </c>
      <c r="K6">
        <v>509.25293100007019</v>
      </c>
      <c r="L6">
        <v>821.52283496053917</v>
      </c>
      <c r="M6">
        <v>447.14098399771336</v>
      </c>
      <c r="N6">
        <v>587.82418849104442</v>
      </c>
      <c r="O6">
        <v>400.09558966631823</v>
      </c>
      <c r="P6">
        <v>11.324233082031597</v>
      </c>
      <c r="Q6">
        <v>116.1606440642888</v>
      </c>
      <c r="R6">
        <v>801.4861499529402</v>
      </c>
      <c r="S6">
        <v>466.83683797907219</v>
      </c>
    </row>
    <row r="7" spans="1:19" x14ac:dyDescent="0.25">
      <c r="A7">
        <v>20</v>
      </c>
      <c r="B7">
        <v>206.44428584088337</v>
      </c>
      <c r="C7">
        <v>299.49443192143781</v>
      </c>
      <c r="D7">
        <v>533.13049489849664</v>
      </c>
      <c r="E7">
        <v>755.42774876184126</v>
      </c>
      <c r="F7">
        <v>384.62838719822935</v>
      </c>
      <c r="G7">
        <v>610.93813325576912</v>
      </c>
      <c r="H7">
        <v>648.06534194113419</v>
      </c>
      <c r="I7">
        <v>612.99347214813724</v>
      </c>
      <c r="J7">
        <v>265.33058694978263</v>
      </c>
      <c r="K7">
        <v>551.1563464870195</v>
      </c>
      <c r="L7">
        <v>851.86043417797441</v>
      </c>
      <c r="M7">
        <v>471.93815470138418</v>
      </c>
      <c r="N7">
        <v>620.39222770951721</v>
      </c>
      <c r="O7">
        <v>451.64165629582459</v>
      </c>
      <c r="P7">
        <v>14.987593919085295</v>
      </c>
      <c r="Q7">
        <v>138.88778898382671</v>
      </c>
      <c r="R7">
        <v>839.08941992555015</v>
      </c>
      <c r="S7">
        <v>516.30069211111288</v>
      </c>
    </row>
    <row r="8" spans="1:19" x14ac:dyDescent="0.25">
      <c r="A8">
        <v>30</v>
      </c>
      <c r="B8">
        <v>296.0618433393235</v>
      </c>
      <c r="C8">
        <v>397.79743936897398</v>
      </c>
      <c r="D8">
        <v>632.67208944087406</v>
      </c>
      <c r="E8">
        <v>845.24876360564053</v>
      </c>
      <c r="F8">
        <v>476.24711427773155</v>
      </c>
      <c r="G8">
        <v>684.90283469490703</v>
      </c>
      <c r="H8">
        <v>734.87930774359154</v>
      </c>
      <c r="I8">
        <v>707.91938999541162</v>
      </c>
      <c r="J8">
        <v>372.84633089349211</v>
      </c>
      <c r="K8">
        <v>640.26583770690979</v>
      </c>
      <c r="L8">
        <v>921.00036766218466</v>
      </c>
      <c r="M8">
        <v>522.35971339312346</v>
      </c>
      <c r="N8">
        <v>767.2533290252403</v>
      </c>
      <c r="O8">
        <v>570.98384897320898</v>
      </c>
      <c r="P8">
        <v>26.429242891129206</v>
      </c>
      <c r="Q8">
        <v>211.89071486942316</v>
      </c>
      <c r="R8">
        <v>919.95937550749352</v>
      </c>
      <c r="S8">
        <v>637.35312017794308</v>
      </c>
    </row>
    <row r="9" spans="1:19" x14ac:dyDescent="0.25">
      <c r="A9">
        <v>40</v>
      </c>
      <c r="B9">
        <v>378.86909092783037</v>
      </c>
      <c r="C9">
        <v>480.87405575548166</v>
      </c>
      <c r="D9">
        <v>713.01828703897024</v>
      </c>
      <c r="E9">
        <v>919.75955464760193</v>
      </c>
      <c r="F9">
        <v>533.91430167885824</v>
      </c>
      <c r="G9">
        <v>744.32744028551951</v>
      </c>
      <c r="H9">
        <v>807.28851272048712</v>
      </c>
      <c r="I9">
        <v>773.47873946021218</v>
      </c>
      <c r="J9">
        <v>450.9207921454647</v>
      </c>
      <c r="K9">
        <v>711.20532793538598</v>
      </c>
      <c r="L9">
        <v>978.39647997264331</v>
      </c>
      <c r="M9">
        <v>559.2230916675104</v>
      </c>
      <c r="N9">
        <v>896.73540822124789</v>
      </c>
      <c r="O9">
        <v>696.72781202291856</v>
      </c>
      <c r="P9">
        <v>57.413011984863488</v>
      </c>
      <c r="Q9">
        <v>287.26088684560898</v>
      </c>
      <c r="R9">
        <v>980.87224231658865</v>
      </c>
      <c r="S9">
        <v>713.92444316755268</v>
      </c>
    </row>
    <row r="10" spans="1:19" x14ac:dyDescent="0.25">
      <c r="A10">
        <v>60</v>
      </c>
      <c r="B10">
        <v>529.04647587560737</v>
      </c>
      <c r="C10">
        <v>644.22873507268059</v>
      </c>
      <c r="D10">
        <v>841.34463874062351</v>
      </c>
      <c r="E10">
        <v>1034.4360815640462</v>
      </c>
      <c r="F10">
        <v>674.30753968539545</v>
      </c>
      <c r="G10">
        <v>836.6176189456055</v>
      </c>
      <c r="H10">
        <v>930.65432102344369</v>
      </c>
      <c r="I10">
        <v>914.63772840313902</v>
      </c>
      <c r="J10">
        <v>613.67350134450248</v>
      </c>
      <c r="K10">
        <v>834.63453867329883</v>
      </c>
      <c r="L10">
        <v>1068.2574736840977</v>
      </c>
      <c r="M10">
        <v>624.16226261332031</v>
      </c>
      <c r="N10">
        <v>1072.4167105105496</v>
      </c>
      <c r="O10">
        <v>850.67806865743114</v>
      </c>
      <c r="P10">
        <v>116.51288265739404</v>
      </c>
      <c r="Q10">
        <v>445.04012930680011</v>
      </c>
      <c r="R10">
        <v>1086.8441925975983</v>
      </c>
      <c r="S10">
        <v>852.50387428235433</v>
      </c>
    </row>
    <row r="11" spans="1:19" x14ac:dyDescent="0.25">
      <c r="A11">
        <v>80</v>
      </c>
      <c r="B11">
        <v>635.05478483883985</v>
      </c>
      <c r="C11">
        <v>767.00789872884127</v>
      </c>
      <c r="D11">
        <v>942.48644420290009</v>
      </c>
      <c r="E11">
        <v>1117.3888677974899</v>
      </c>
      <c r="F11">
        <v>751.74061590089855</v>
      </c>
      <c r="G11">
        <v>900.06397496365514</v>
      </c>
      <c r="H11">
        <v>1041.8068024863819</v>
      </c>
      <c r="I11">
        <v>1023.6304482163122</v>
      </c>
      <c r="J11">
        <v>722.37193645563877</v>
      </c>
      <c r="K11">
        <v>927.64878512459109</v>
      </c>
      <c r="L11">
        <v>1148.153715554633</v>
      </c>
      <c r="M11">
        <v>661.16673820745063</v>
      </c>
      <c r="N11">
        <v>1189.4436684019843</v>
      </c>
      <c r="O11">
        <v>996.18800946092085</v>
      </c>
      <c r="P11">
        <v>173.47378139210548</v>
      </c>
      <c r="Q11">
        <v>587.87985090129916</v>
      </c>
      <c r="R11">
        <v>1166.1273444364494</v>
      </c>
      <c r="S11">
        <v>975.22609810750851</v>
      </c>
    </row>
    <row r="12" spans="1:19" x14ac:dyDescent="0.25">
      <c r="A12">
        <v>100</v>
      </c>
      <c r="B12">
        <v>720.69842922324619</v>
      </c>
      <c r="C12">
        <v>848.35047932239263</v>
      </c>
      <c r="D12">
        <v>1009.3576728334044</v>
      </c>
      <c r="E12">
        <v>1173.5757487577634</v>
      </c>
      <c r="F12">
        <v>810.81558409725551</v>
      </c>
      <c r="G12">
        <v>940.32202712282105</v>
      </c>
      <c r="H12">
        <v>1119.3609534599295</v>
      </c>
      <c r="I12">
        <v>1102.9744056244426</v>
      </c>
      <c r="J12">
        <v>810.5442920411981</v>
      </c>
      <c r="K12">
        <v>988.57713882878943</v>
      </c>
      <c r="L12">
        <v>1202.5814908257057</v>
      </c>
      <c r="M12">
        <v>693.19553454853519</v>
      </c>
      <c r="N12">
        <v>1272.1389661569901</v>
      </c>
      <c r="O12">
        <v>1088.453467390528</v>
      </c>
      <c r="P12">
        <v>212.99840731394889</v>
      </c>
      <c r="Q12">
        <v>704.43685468444767</v>
      </c>
      <c r="R12">
        <v>1221.3889474564025</v>
      </c>
      <c r="S12">
        <v>1042.7226858878917</v>
      </c>
    </row>
    <row r="14" spans="1:19" x14ac:dyDescent="0.25">
      <c r="B14">
        <f>SLOPE($A2:$A12,B2:B12)</f>
        <v>0.13220907246181152</v>
      </c>
      <c r="C14">
        <f t="shared" ref="C14:S14" si="0">SLOPE($A2:$A12,C2:C12)</f>
        <v>0.11931886072454856</v>
      </c>
      <c r="D14">
        <f t="shared" si="0"/>
        <v>0.13294133202551744</v>
      </c>
      <c r="E14">
        <f t="shared" si="0"/>
        <v>0.13870535551908719</v>
      </c>
      <c r="F14">
        <f t="shared" si="0"/>
        <v>0.1392555757762074</v>
      </c>
      <c r="G14">
        <f t="shared" si="0"/>
        <v>0.16826261563054798</v>
      </c>
      <c r="H14">
        <f t="shared" si="0"/>
        <v>0.15062819229476299</v>
      </c>
      <c r="I14">
        <f t="shared" si="0"/>
        <v>0.1328697980197488</v>
      </c>
      <c r="J14">
        <f t="shared" si="0"/>
        <v>0.12808243656432131</v>
      </c>
      <c r="K14">
        <f t="shared" si="0"/>
        <v>0.13060648513822262</v>
      </c>
      <c r="L14">
        <f t="shared" si="0"/>
        <v>0.16415353468412894</v>
      </c>
      <c r="M14">
        <f t="shared" si="0"/>
        <v>0.24493677128639343</v>
      </c>
      <c r="N14">
        <f t="shared" si="0"/>
        <v>0.11288225807245469</v>
      </c>
      <c r="O14">
        <f t="shared" si="0"/>
        <v>9.7930082304609256E-2</v>
      </c>
      <c r="P14">
        <f t="shared" si="0"/>
        <v>0.42986514759265099</v>
      </c>
      <c r="Q14">
        <f t="shared" si="0"/>
        <v>0.14074289993161679</v>
      </c>
      <c r="R14">
        <f t="shared" si="0"/>
        <v>0.1556219055107752</v>
      </c>
      <c r="S14">
        <f t="shared" si="0"/>
        <v>0.11321931454831942</v>
      </c>
    </row>
    <row r="15" spans="1:19" x14ac:dyDescent="0.25">
      <c r="B15">
        <f>INTERCEPT($A2:$A12,B2:B12)</f>
        <v>-4.415105258295327</v>
      </c>
      <c r="C15">
        <f>INTERCEPT($A2:$A12,C2:C12)</f>
        <v>-11.709966655239384</v>
      </c>
      <c r="D15">
        <f t="shared" ref="D15:S15" si="1">INTERCEPT($A2:$A12,D2:D12)</f>
        <v>-46.715216557250024</v>
      </c>
      <c r="E15">
        <f t="shared" si="1"/>
        <v>-78.375050162476725</v>
      </c>
      <c r="F15">
        <f t="shared" si="1"/>
        <v>-27.30599920973566</v>
      </c>
      <c r="G15">
        <f t="shared" si="1"/>
        <v>-75.448093501194251</v>
      </c>
      <c r="H15">
        <f t="shared" si="1"/>
        <v>-76.346196456690308</v>
      </c>
      <c r="I15">
        <f t="shared" si="1"/>
        <v>-57.087718465696547</v>
      </c>
      <c r="J15">
        <f t="shared" si="1"/>
        <v>-12.623691421997378</v>
      </c>
      <c r="K15">
        <f t="shared" si="1"/>
        <v>-44.484224314235796</v>
      </c>
      <c r="L15">
        <f t="shared" si="1"/>
        <v>-112.18994369567733</v>
      </c>
      <c r="M15">
        <f t="shared" si="1"/>
        <v>-87.442273212428375</v>
      </c>
      <c r="N15">
        <f t="shared" si="1"/>
        <v>-53.565937339853839</v>
      </c>
      <c r="O15">
        <f t="shared" si="1"/>
        <v>-19.200306559358737</v>
      </c>
      <c r="P15">
        <f t="shared" si="1"/>
        <v>9.0290500879918305</v>
      </c>
      <c r="Q15">
        <f t="shared" si="1"/>
        <v>-0.88837481015484343</v>
      </c>
      <c r="R15">
        <f t="shared" si="1"/>
        <v>-104.32310852734796</v>
      </c>
      <c r="S15">
        <f t="shared" si="1"/>
        <v>-32.579715011240573</v>
      </c>
    </row>
    <row r="16" spans="1:19" x14ac:dyDescent="0.25">
      <c r="B16">
        <f>MAX(B30:B40)/MAX($A:$A)</f>
        <v>9.1322344060054378E-2</v>
      </c>
      <c r="C16">
        <f t="shared" ref="C16:S16" si="2">MAX(C30:C40)/MAX($A:$A)</f>
        <v>0.10485753967366804</v>
      </c>
      <c r="D16">
        <f t="shared" si="2"/>
        <v>0.12529863040600786</v>
      </c>
      <c r="E16">
        <f t="shared" si="2"/>
        <v>0.15593808702452208</v>
      </c>
      <c r="F16">
        <f t="shared" si="2"/>
        <v>0.14395408197950432</v>
      </c>
      <c r="G16">
        <f t="shared" si="2"/>
        <v>0.17227049682489309</v>
      </c>
      <c r="H16">
        <f t="shared" si="2"/>
        <v>7.7388795116787895E-2</v>
      </c>
      <c r="I16">
        <f t="shared" si="2"/>
        <v>0.10535731969424375</v>
      </c>
      <c r="J16">
        <f t="shared" si="2"/>
        <v>8.8072035540578922E-2</v>
      </c>
      <c r="K16">
        <f t="shared" si="2"/>
        <v>0.15369638923806861</v>
      </c>
      <c r="L16">
        <f t="shared" si="2"/>
        <v>0.14781941230928367</v>
      </c>
      <c r="M16">
        <f t="shared" si="2"/>
        <v>0.17653197109964566</v>
      </c>
      <c r="N16">
        <f t="shared" si="2"/>
        <v>9.9640182580947687E-2</v>
      </c>
      <c r="O16">
        <f t="shared" si="2"/>
        <v>0.12607968913067011</v>
      </c>
      <c r="P16">
        <f t="shared" si="2"/>
        <v>0.10305580622481481</v>
      </c>
      <c r="Q16">
        <f t="shared" si="2"/>
        <v>2.5900775457756299E-2</v>
      </c>
      <c r="R16">
        <f t="shared" si="2"/>
        <v>0.14248233154382489</v>
      </c>
      <c r="S16">
        <f t="shared" si="2"/>
        <v>0.14523367251030891</v>
      </c>
    </row>
    <row r="18" spans="1:19" x14ac:dyDescent="0.25">
      <c r="A18">
        <v>0</v>
      </c>
      <c r="B18">
        <f t="shared" ref="B18:S18" si="3">B2*B$14+B$15</f>
        <v>-2.5714961507677159</v>
      </c>
      <c r="C18">
        <f t="shared" si="3"/>
        <v>-5.2057022187436592</v>
      </c>
      <c r="D18">
        <f t="shared" si="3"/>
        <v>-7.8062328474761884</v>
      </c>
      <c r="E18">
        <f t="shared" si="3"/>
        <v>-12.178391514023815</v>
      </c>
      <c r="F18">
        <f t="shared" si="3"/>
        <v>-8.1580868637446002</v>
      </c>
      <c r="G18">
        <f t="shared" si="3"/>
        <v>-12.370239708626258</v>
      </c>
      <c r="H18">
        <f t="shared" si="3"/>
        <v>-2.8382125672050762</v>
      </c>
      <c r="I18">
        <f t="shared" si="3"/>
        <v>-7.3913191821238229</v>
      </c>
      <c r="J18">
        <f t="shared" si="3"/>
        <v>-2.2444713249285737</v>
      </c>
      <c r="K18">
        <f t="shared" si="3"/>
        <v>-11.184936484496085</v>
      </c>
      <c r="L18">
        <f t="shared" si="3"/>
        <v>-12.853949192857755</v>
      </c>
      <c r="M18">
        <f t="shared" si="3"/>
        <v>-13.688750905662829</v>
      </c>
      <c r="N18">
        <f t="shared" si="3"/>
        <v>2.4016853715573987</v>
      </c>
      <c r="O18">
        <f t="shared" si="3"/>
        <v>-7.4718945608868967</v>
      </c>
      <c r="P18">
        <f t="shared" si="3"/>
        <v>10.305580622481481</v>
      </c>
      <c r="Q18">
        <f t="shared" si="3"/>
        <v>2.59007754577563</v>
      </c>
      <c r="R18">
        <f t="shared" si="3"/>
        <v>-10.85190216836844</v>
      </c>
      <c r="S18">
        <f t="shared" si="3"/>
        <v>-10.750100363911191</v>
      </c>
    </row>
    <row r="19" spans="1:19" x14ac:dyDescent="0.25">
      <c r="A19">
        <v>4</v>
      </c>
      <c r="B19">
        <f t="shared" ref="B19:S19" si="4">B3*B$14+B$15</f>
        <v>-0.42849266457954949</v>
      </c>
      <c r="C19">
        <f t="shared" si="4"/>
        <v>0.11687548746575871</v>
      </c>
      <c r="D19">
        <f t="shared" si="4"/>
        <v>-0.21282459759329697</v>
      </c>
      <c r="E19">
        <f t="shared" si="4"/>
        <v>-0.38953104691498197</v>
      </c>
      <c r="F19">
        <f t="shared" si="4"/>
        <v>-1.5323897440837975</v>
      </c>
      <c r="G19">
        <f t="shared" si="4"/>
        <v>-0.99475906412948234</v>
      </c>
      <c r="H19">
        <f t="shared" si="4"/>
        <v>1.2587452255088323</v>
      </c>
      <c r="I19">
        <f t="shared" si="4"/>
        <v>-0.55143130602871082</v>
      </c>
      <c r="J19">
        <f t="shared" si="4"/>
        <v>1.2596285213065173</v>
      </c>
      <c r="K19">
        <f t="shared" si="4"/>
        <v>-1.9918859563641931</v>
      </c>
      <c r="L19">
        <f t="shared" si="4"/>
        <v>-1.6933271294000036</v>
      </c>
      <c r="M19">
        <f t="shared" si="4"/>
        <v>-1.579709871584015</v>
      </c>
      <c r="N19">
        <f t="shared" si="4"/>
        <v>4.2051422567169041</v>
      </c>
      <c r="O19">
        <f t="shared" si="4"/>
        <v>-1.5767390603787774</v>
      </c>
      <c r="P19">
        <f t="shared" si="4"/>
        <v>10.457705108077841</v>
      </c>
      <c r="Q19">
        <f t="shared" si="4"/>
        <v>4.4836439054512081</v>
      </c>
      <c r="R19">
        <f t="shared" si="4"/>
        <v>-0.47115434911064824</v>
      </c>
      <c r="S19">
        <f t="shared" si="4"/>
        <v>-0.98288686098466371</v>
      </c>
    </row>
    <row r="20" spans="1:19" x14ac:dyDescent="0.25">
      <c r="A20">
        <v>8</v>
      </c>
      <c r="B20">
        <f t="shared" ref="B20:S20" si="5">B4*B$14+B$15</f>
        <v>4.8886948025748325</v>
      </c>
      <c r="C20">
        <f t="shared" si="5"/>
        <v>4.8278183845166147</v>
      </c>
      <c r="D20">
        <f t="shared" si="5"/>
        <v>5.9815070779556265</v>
      </c>
      <c r="E20">
        <f t="shared" si="5"/>
        <v>6.9034865771165812</v>
      </c>
      <c r="F20">
        <f t="shared" si="5"/>
        <v>5.0960970369057179</v>
      </c>
      <c r="G20">
        <f t="shared" si="5"/>
        <v>6.3311159733337377</v>
      </c>
      <c r="H20">
        <f t="shared" si="5"/>
        <v>5.1149060173476784</v>
      </c>
      <c r="I20">
        <f t="shared" si="5"/>
        <v>6.0321858871949061</v>
      </c>
      <c r="J20">
        <f t="shared" si="5"/>
        <v>5.4261801070950746</v>
      </c>
      <c r="K20">
        <f t="shared" si="5"/>
        <v>5.7808621774041313</v>
      </c>
      <c r="L20">
        <f t="shared" si="5"/>
        <v>6.5020423855964111</v>
      </c>
      <c r="M20">
        <f t="shared" si="5"/>
        <v>7.1058051376591038</v>
      </c>
      <c r="N20">
        <f t="shared" si="5"/>
        <v>6.1410559638501567</v>
      </c>
      <c r="O20">
        <f t="shared" si="5"/>
        <v>4.7276582390428139</v>
      </c>
      <c r="P20">
        <f t="shared" si="5"/>
        <v>10.340259424805463</v>
      </c>
      <c r="Q20">
        <f t="shared" si="5"/>
        <v>7.397624650803083</v>
      </c>
      <c r="R20">
        <f t="shared" si="5"/>
        <v>6.2372784854103571</v>
      </c>
      <c r="S20">
        <f t="shared" si="5"/>
        <v>6.2159272199526399</v>
      </c>
    </row>
    <row r="21" spans="1:19" x14ac:dyDescent="0.25">
      <c r="A21">
        <v>12</v>
      </c>
      <c r="B21">
        <f t="shared" ref="B21:S21" si="6">B5*B$14+B$15</f>
        <v>11.171889934236665</v>
      </c>
      <c r="C21">
        <f t="shared" si="6"/>
        <v>11.738261588930818</v>
      </c>
      <c r="D21">
        <f t="shared" si="6"/>
        <v>12.38818129126264</v>
      </c>
      <c r="E21">
        <f t="shared" si="6"/>
        <v>14.035037669801639</v>
      </c>
      <c r="F21">
        <f t="shared" si="6"/>
        <v>12.749202617814873</v>
      </c>
      <c r="G21">
        <f t="shared" si="6"/>
        <v>14.323134132160206</v>
      </c>
      <c r="H21">
        <f t="shared" si="6"/>
        <v>11.560234938172201</v>
      </c>
      <c r="I21">
        <f t="shared" si="6"/>
        <v>12.871559151447777</v>
      </c>
      <c r="J21">
        <f t="shared" si="6"/>
        <v>10.770414289458969</v>
      </c>
      <c r="K21">
        <f t="shared" si="6"/>
        <v>14.498087082983112</v>
      </c>
      <c r="L21">
        <f t="shared" si="6"/>
        <v>15.650621497143462</v>
      </c>
      <c r="M21">
        <f t="shared" si="6"/>
        <v>15.609479582248099</v>
      </c>
      <c r="N21">
        <f t="shared" si="6"/>
        <v>9.0668483203842172</v>
      </c>
      <c r="O21">
        <f t="shared" si="6"/>
        <v>13.709230716883603</v>
      </c>
      <c r="P21">
        <f t="shared" si="6"/>
        <v>12.125951626106879</v>
      </c>
      <c r="Q21">
        <f t="shared" si="6"/>
        <v>11.078338389170163</v>
      </c>
      <c r="R21">
        <f t="shared" si="6"/>
        <v>13.540403955930458</v>
      </c>
      <c r="S21">
        <f t="shared" si="6"/>
        <v>14.283505919979561</v>
      </c>
    </row>
    <row r="22" spans="1:19" x14ac:dyDescent="0.25">
      <c r="A22">
        <v>16</v>
      </c>
      <c r="B22">
        <f t="shared" ref="B22:S22" si="7">B6*B$14+B$15</f>
        <v>17.716616504026646</v>
      </c>
      <c r="C22">
        <f t="shared" si="7"/>
        <v>18.593770483852055</v>
      </c>
      <c r="D22">
        <f t="shared" si="7"/>
        <v>18.837485349288691</v>
      </c>
      <c r="E22">
        <f t="shared" si="7"/>
        <v>21.030832474365695</v>
      </c>
      <c r="F22">
        <f t="shared" si="7"/>
        <v>19.953167083861125</v>
      </c>
      <c r="G22">
        <f t="shared" si="7"/>
        <v>21.675605650487142</v>
      </c>
      <c r="H22">
        <f t="shared" si="7"/>
        <v>17.355072818185135</v>
      </c>
      <c r="I22">
        <f t="shared" si="7"/>
        <v>19.19463953253382</v>
      </c>
      <c r="J22">
        <f t="shared" si="7"/>
        <v>16.095665685044974</v>
      </c>
      <c r="K22">
        <f t="shared" si="7"/>
        <v>22.027511050021182</v>
      </c>
      <c r="L22">
        <f t="shared" si="7"/>
        <v>22.665933486821473</v>
      </c>
      <c r="M22">
        <f t="shared" si="7"/>
        <v>22.078995717792452</v>
      </c>
      <c r="N22">
        <f t="shared" si="7"/>
        <v>12.788984406623491</v>
      </c>
      <c r="O22">
        <f t="shared" si="7"/>
        <v>19.98108746637498</v>
      </c>
      <c r="P22">
        <f t="shared" si="7"/>
        <v>13.896943213172925</v>
      </c>
      <c r="Q22">
        <f t="shared" si="7"/>
        <v>15.460411093377513</v>
      </c>
      <c r="R22">
        <f t="shared" si="7"/>
        <v>20.405693368823506</v>
      </c>
      <c r="S22">
        <f t="shared" si="7"/>
        <v>20.275231790654829</v>
      </c>
    </row>
    <row r="23" spans="1:19" x14ac:dyDescent="0.25">
      <c r="A23">
        <v>20</v>
      </c>
      <c r="B23">
        <f t="shared" ref="B23:S23" si="8">B7*B$14+B$15</f>
        <v>22.878702287768952</v>
      </c>
      <c r="C23">
        <f t="shared" si="8"/>
        <v>24.025367754972443</v>
      </c>
      <c r="D23">
        <f t="shared" si="8"/>
        <v>24.159861577979449</v>
      </c>
      <c r="E23">
        <f t="shared" si="8"/>
        <v>26.406824298518146</v>
      </c>
      <c r="F23">
        <f t="shared" si="8"/>
        <v>26.255648309427805</v>
      </c>
      <c r="G23">
        <f t="shared" si="8"/>
        <v>27.34995478886573</v>
      </c>
      <c r="H23">
        <f t="shared" si="8"/>
        <v>21.270714488790176</v>
      </c>
      <c r="I23">
        <f t="shared" si="8"/>
        <v>24.360600366050953</v>
      </c>
      <c r="J23">
        <f t="shared" si="8"/>
        <v>21.360496649572291</v>
      </c>
      <c r="K23">
        <f t="shared" si="8"/>
        <v>27.500368862058188</v>
      </c>
      <c r="L23">
        <f t="shared" si="8"/>
        <v>27.645957632193927</v>
      </c>
      <c r="M23">
        <f t="shared" si="8"/>
        <v>28.152734646987128</v>
      </c>
      <c r="N23">
        <f t="shared" si="8"/>
        <v>16.465338214596962</v>
      </c>
      <c r="O23">
        <f t="shared" si="8"/>
        <v>25.028998013881413</v>
      </c>
      <c r="P23">
        <f t="shared" si="8"/>
        <v>15.47169436007815</v>
      </c>
      <c r="Q23">
        <f t="shared" si="8"/>
        <v>18.659095376519389</v>
      </c>
      <c r="R23">
        <f t="shared" si="8"/>
        <v>26.257585895397199</v>
      </c>
      <c r="S23">
        <f t="shared" si="8"/>
        <v>25.875495450402532</v>
      </c>
    </row>
    <row r="24" spans="1:19" x14ac:dyDescent="0.25">
      <c r="A24">
        <v>30</v>
      </c>
      <c r="B24">
        <f t="shared" ref="B24:S24" si="9">B8*B$14+B$15</f>
        <v>34.726956440930785</v>
      </c>
      <c r="C24">
        <f t="shared" si="9"/>
        <v>35.75477060940927</v>
      </c>
      <c r="D24">
        <f t="shared" si="9"/>
        <v>37.393053748387082</v>
      </c>
      <c r="E24">
        <f t="shared" si="9"/>
        <v>38.865480095512538</v>
      </c>
      <c r="F24">
        <f t="shared" si="9"/>
        <v>39.014066900767091</v>
      </c>
      <c r="G24">
        <f t="shared" si="9"/>
        <v>39.795448917347628</v>
      </c>
      <c r="H24">
        <f t="shared" si="9"/>
        <v>34.347345223553702</v>
      </c>
      <c r="I24">
        <f t="shared" si="9"/>
        <v>36.973387897257574</v>
      </c>
      <c r="J24">
        <f t="shared" si="9"/>
        <v>35.131375102908272</v>
      </c>
      <c r="K24">
        <f t="shared" si="9"/>
        <v>39.138646302743375</v>
      </c>
      <c r="L24">
        <f t="shared" si="9"/>
        <v>38.995522101452593</v>
      </c>
      <c r="M24">
        <f t="shared" si="9"/>
        <v>40.502828436169125</v>
      </c>
      <c r="N24">
        <f t="shared" si="9"/>
        <v>33.043350954123333</v>
      </c>
      <c r="O24">
        <f t="shared" si="9"/>
        <v>36.716188765190203</v>
      </c>
      <c r="P24">
        <f t="shared" si="9"/>
        <v>20.39006048414911</v>
      </c>
      <c r="Q24">
        <f t="shared" si="9"/>
        <v>28.933738869151128</v>
      </c>
      <c r="R24">
        <f t="shared" si="9"/>
        <v>38.842722481630972</v>
      </c>
      <c r="S24">
        <f t="shared" si="9"/>
        <v>39.580968380538799</v>
      </c>
    </row>
    <row r="25" spans="1:19" x14ac:dyDescent="0.25">
      <c r="A25">
        <v>40</v>
      </c>
      <c r="B25">
        <f t="shared" ref="B25:S25" si="10">B9*B$14+B$15</f>
        <v>45.674825837722857</v>
      </c>
      <c r="C25">
        <f t="shared" si="10"/>
        <v>45.667377829497731</v>
      </c>
      <c r="D25">
        <f t="shared" si="10"/>
        <v>48.074384280263423</v>
      </c>
      <c r="E25">
        <f t="shared" si="10"/>
        <v>49.200525856996208</v>
      </c>
      <c r="F25">
        <f t="shared" si="10"/>
        <v>47.044544285705442</v>
      </c>
      <c r="G25">
        <f t="shared" si="10"/>
        <v>49.794388486837775</v>
      </c>
      <c r="H25">
        <f t="shared" si="10"/>
        <v>45.254212874724445</v>
      </c>
      <c r="I25">
        <f t="shared" si="10"/>
        <v>45.684245418951754</v>
      </c>
      <c r="J25">
        <f t="shared" si="10"/>
        <v>45.131342333507618</v>
      </c>
      <c r="K25">
        <f t="shared" si="10"/>
        <v>48.403803778981946</v>
      </c>
      <c r="L25">
        <f t="shared" si="10"/>
        <v>48.417296814341626</v>
      </c>
      <c r="M25">
        <f t="shared" si="10"/>
        <v>49.532025289406448</v>
      </c>
      <c r="N25">
        <f t="shared" si="10"/>
        <v>47.659580433685072</v>
      </c>
      <c r="O25">
        <f t="shared" si="10"/>
        <v>49.030305415956008</v>
      </c>
      <c r="P25">
        <f t="shared" si="10"/>
        <v>33.708902958603815</v>
      </c>
      <c r="Q25">
        <f t="shared" si="10"/>
        <v>39.541555441424194</v>
      </c>
      <c r="R25">
        <f t="shared" si="10"/>
        <v>48.32209888458641</v>
      </c>
      <c r="S25">
        <f t="shared" si="10"/>
        <v>48.250321083480365</v>
      </c>
    </row>
    <row r="26" spans="1:19" x14ac:dyDescent="0.25">
      <c r="A26">
        <v>60</v>
      </c>
      <c r="B26">
        <f t="shared" ref="B26:S26" si="11">B10*B$14+B$15</f>
        <v>65.529638606408867</v>
      </c>
      <c r="C26">
        <f t="shared" si="11"/>
        <v>65.158672059649888</v>
      </c>
      <c r="D26">
        <f t="shared" si="11"/>
        <v>65.134260409456232</v>
      </c>
      <c r="E26">
        <f t="shared" si="11"/>
        <v>65.106774292635777</v>
      </c>
      <c r="F26">
        <f t="shared" si="11"/>
        <v>66.595085479391898</v>
      </c>
      <c r="G26">
        <f t="shared" si="11"/>
        <v>65.323375345194421</v>
      </c>
      <c r="H26">
        <f t="shared" si="11"/>
        <v>63.836581570381043</v>
      </c>
      <c r="I26">
        <f t="shared" si="11"/>
        <v>64.440011768470384</v>
      </c>
      <c r="J26">
        <f t="shared" si="11"/>
        <v>65.977105885164804</v>
      </c>
      <c r="K26">
        <f t="shared" si="11"/>
        <v>64.524459156845694</v>
      </c>
      <c r="L26">
        <f t="shared" si="11"/>
        <v>63.168296562305159</v>
      </c>
      <c r="M26">
        <f t="shared" si="11"/>
        <v>65.438016150888302</v>
      </c>
      <c r="N26">
        <f t="shared" si="11"/>
        <v>67.49088253721095</v>
      </c>
      <c r="O26">
        <f t="shared" si="11"/>
        <v>64.106666718989544</v>
      </c>
      <c r="P26">
        <f t="shared" si="11"/>
        <v>59.113877587957745</v>
      </c>
      <c r="Q26">
        <f t="shared" si="11"/>
        <v>61.747863574425921</v>
      </c>
      <c r="R26">
        <f t="shared" si="11"/>
        <v>64.813655718010267</v>
      </c>
      <c r="S26">
        <f t="shared" si="11"/>
        <v>63.940189284794251</v>
      </c>
    </row>
    <row r="27" spans="1:19" x14ac:dyDescent="0.25">
      <c r="A27">
        <v>80</v>
      </c>
      <c r="B27">
        <f t="shared" ref="B27:S27" si="12">B11*B$14+B$15</f>
        <v>79.544898807682969</v>
      </c>
      <c r="C27">
        <f t="shared" si="12"/>
        <v>79.808541987815872</v>
      </c>
      <c r="D27">
        <f t="shared" si="12"/>
        <v>78.580186751077036</v>
      </c>
      <c r="E27">
        <f t="shared" si="12"/>
        <v>76.612769998444435</v>
      </c>
      <c r="F27">
        <f t="shared" si="12"/>
        <v>77.378073091904739</v>
      </c>
      <c r="G27">
        <f t="shared" si="12"/>
        <v>75.999025161018409</v>
      </c>
      <c r="H27">
        <f t="shared" si="12"/>
        <v>80.579278922220595</v>
      </c>
      <c r="I27">
        <f t="shared" si="12"/>
        <v>78.921852435669763</v>
      </c>
      <c r="J27">
        <f t="shared" si="12"/>
        <v>79.899466304927913</v>
      </c>
      <c r="K27">
        <f t="shared" si="12"/>
        <v>76.672722953629375</v>
      </c>
      <c r="L27">
        <f t="shared" si="12"/>
        <v>76.283547073331619</v>
      </c>
      <c r="M27">
        <f t="shared" si="12"/>
        <v>74.501772926060738</v>
      </c>
      <c r="N27">
        <f t="shared" si="12"/>
        <v>80.701149799346183</v>
      </c>
      <c r="O27">
        <f t="shared" si="12"/>
        <v>78.356467198014101</v>
      </c>
      <c r="P27">
        <f t="shared" si="12"/>
        <v>83.599382729564525</v>
      </c>
      <c r="Q27">
        <f t="shared" si="12"/>
        <v>81.851540217060503</v>
      </c>
      <c r="R27">
        <f t="shared" si="12"/>
        <v>77.151850882072381</v>
      </c>
      <c r="S27">
        <f t="shared" si="12"/>
        <v>77.834715346123659</v>
      </c>
    </row>
    <row r="28" spans="1:19" x14ac:dyDescent="0.25">
      <c r="A28">
        <v>100</v>
      </c>
      <c r="B28">
        <f t="shared" ref="B28:S28" si="13">B12*B$14+B$15</f>
        <v>90.867765593994562</v>
      </c>
      <c r="C28">
        <f t="shared" si="13"/>
        <v>89.514246032633196</v>
      </c>
      <c r="D28">
        <f t="shared" si="13"/>
        <v>87.470136959399213</v>
      </c>
      <c r="E28">
        <f t="shared" si="13"/>
        <v>84.406191297547792</v>
      </c>
      <c r="F28">
        <f t="shared" si="13"/>
        <v>85.604591802049569</v>
      </c>
      <c r="G28">
        <f t="shared" si="13"/>
        <v>82.772950317510691</v>
      </c>
      <c r="H28">
        <f t="shared" si="13"/>
        <v>92.261120488321211</v>
      </c>
      <c r="I28">
        <f t="shared" si="13"/>
        <v>89.464268030575624</v>
      </c>
      <c r="J28">
        <f t="shared" si="13"/>
        <v>91.192796445942108</v>
      </c>
      <c r="K28">
        <f t="shared" si="13"/>
        <v>84.63036107619314</v>
      </c>
      <c r="L28">
        <f t="shared" si="13"/>
        <v>85.218058769071632</v>
      </c>
      <c r="M28">
        <f t="shared" si="13"/>
        <v>82.346802890035434</v>
      </c>
      <c r="N28">
        <f t="shared" si="13"/>
        <v>90.035981741905232</v>
      </c>
      <c r="O28">
        <f t="shared" si="13"/>
        <v>87.392031086932988</v>
      </c>
      <c r="P28">
        <f t="shared" si="13"/>
        <v>100.58964188500207</v>
      </c>
      <c r="Q28">
        <f t="shared" si="13"/>
        <v>98.256110936841253</v>
      </c>
      <c r="R28">
        <f t="shared" si="13"/>
        <v>85.75176684561751</v>
      </c>
      <c r="S28">
        <f t="shared" si="13"/>
        <v>85.476632748969109</v>
      </c>
    </row>
    <row r="30" spans="1:19" x14ac:dyDescent="0.25">
      <c r="A30">
        <v>0</v>
      </c>
      <c r="B30">
        <f>ABS(B18-$A18)</f>
        <v>2.5714961507677159</v>
      </c>
      <c r="C30">
        <f t="shared" ref="C30:S30" si="14">ABS(C18-$A18)</f>
        <v>5.2057022187436592</v>
      </c>
      <c r="D30">
        <f t="shared" si="14"/>
        <v>7.8062328474761884</v>
      </c>
      <c r="E30">
        <f t="shared" si="14"/>
        <v>12.178391514023815</v>
      </c>
      <c r="F30">
        <f t="shared" si="14"/>
        <v>8.1580868637446002</v>
      </c>
      <c r="G30">
        <f t="shared" si="14"/>
        <v>12.370239708626258</v>
      </c>
      <c r="H30">
        <f t="shared" si="14"/>
        <v>2.8382125672050762</v>
      </c>
      <c r="I30">
        <f t="shared" si="14"/>
        <v>7.3913191821238229</v>
      </c>
      <c r="J30">
        <f t="shared" si="14"/>
        <v>2.2444713249285737</v>
      </c>
      <c r="K30">
        <f t="shared" si="14"/>
        <v>11.184936484496085</v>
      </c>
      <c r="L30">
        <f t="shared" si="14"/>
        <v>12.853949192857755</v>
      </c>
      <c r="M30">
        <f t="shared" si="14"/>
        <v>13.688750905662829</v>
      </c>
      <c r="N30">
        <f t="shared" si="14"/>
        <v>2.4016853715573987</v>
      </c>
      <c r="O30">
        <f t="shared" si="14"/>
        <v>7.4718945608868967</v>
      </c>
      <c r="P30">
        <f t="shared" si="14"/>
        <v>10.305580622481481</v>
      </c>
      <c r="Q30">
        <f t="shared" si="14"/>
        <v>2.59007754577563</v>
      </c>
      <c r="R30">
        <f t="shared" si="14"/>
        <v>10.85190216836844</v>
      </c>
      <c r="S30">
        <f t="shared" si="14"/>
        <v>10.750100363911191</v>
      </c>
    </row>
    <row r="31" spans="1:19" x14ac:dyDescent="0.25">
      <c r="A31">
        <v>4</v>
      </c>
      <c r="B31">
        <f t="shared" ref="B31:S40" si="15">ABS(B19-$A19)</f>
        <v>4.428492664579549</v>
      </c>
      <c r="C31">
        <f t="shared" si="15"/>
        <v>3.8831245125342413</v>
      </c>
      <c r="D31">
        <f t="shared" si="15"/>
        <v>4.212824597593297</v>
      </c>
      <c r="E31">
        <f t="shared" si="15"/>
        <v>4.389531046914982</v>
      </c>
      <c r="F31">
        <f t="shared" si="15"/>
        <v>5.5323897440837975</v>
      </c>
      <c r="G31">
        <f t="shared" si="15"/>
        <v>4.9947590641294823</v>
      </c>
      <c r="H31">
        <f t="shared" si="15"/>
        <v>2.7412547744911677</v>
      </c>
      <c r="I31">
        <f t="shared" si="15"/>
        <v>4.5514313060287108</v>
      </c>
      <c r="J31">
        <f t="shared" si="15"/>
        <v>2.7403714786934827</v>
      </c>
      <c r="K31">
        <f t="shared" si="15"/>
        <v>5.9918859563641931</v>
      </c>
      <c r="L31">
        <f t="shared" si="15"/>
        <v>5.6933271294000036</v>
      </c>
      <c r="M31">
        <f t="shared" si="15"/>
        <v>5.579709871584015</v>
      </c>
      <c r="N31">
        <f t="shared" si="15"/>
        <v>0.20514225671690411</v>
      </c>
      <c r="O31">
        <f t="shared" si="15"/>
        <v>5.5767390603787774</v>
      </c>
      <c r="P31">
        <f t="shared" si="15"/>
        <v>6.4577051080778407</v>
      </c>
      <c r="Q31">
        <f t="shared" si="15"/>
        <v>0.48364390545120806</v>
      </c>
      <c r="R31">
        <f t="shared" si="15"/>
        <v>4.4711543491106482</v>
      </c>
      <c r="S31">
        <f t="shared" si="15"/>
        <v>4.9828868609846637</v>
      </c>
    </row>
    <row r="32" spans="1:19" x14ac:dyDescent="0.25">
      <c r="A32">
        <v>8</v>
      </c>
      <c r="B32">
        <f t="shared" si="15"/>
        <v>3.1113051974251675</v>
      </c>
      <c r="C32">
        <f t="shared" si="15"/>
        <v>3.1721816154833853</v>
      </c>
      <c r="D32">
        <f t="shared" si="15"/>
        <v>2.0184929220443735</v>
      </c>
      <c r="E32">
        <f t="shared" si="15"/>
        <v>1.0965134228834188</v>
      </c>
      <c r="F32">
        <f t="shared" si="15"/>
        <v>2.9039029630942821</v>
      </c>
      <c r="G32">
        <f t="shared" si="15"/>
        <v>1.6688840266662623</v>
      </c>
      <c r="H32">
        <f t="shared" si="15"/>
        <v>2.8850939826523216</v>
      </c>
      <c r="I32">
        <f t="shared" si="15"/>
        <v>1.9678141128050939</v>
      </c>
      <c r="J32">
        <f t="shared" si="15"/>
        <v>2.5738198929049254</v>
      </c>
      <c r="K32">
        <f t="shared" si="15"/>
        <v>2.2191378225958687</v>
      </c>
      <c r="L32">
        <f t="shared" si="15"/>
        <v>1.4979576144035889</v>
      </c>
      <c r="M32">
        <f t="shared" si="15"/>
        <v>0.89419486234089618</v>
      </c>
      <c r="N32">
        <f t="shared" si="15"/>
        <v>1.8589440361498433</v>
      </c>
      <c r="O32">
        <f t="shared" si="15"/>
        <v>3.2723417609571861</v>
      </c>
      <c r="P32">
        <f t="shared" si="15"/>
        <v>2.3402594248054633</v>
      </c>
      <c r="Q32">
        <f t="shared" si="15"/>
        <v>0.60237534919691704</v>
      </c>
      <c r="R32">
        <f t="shared" si="15"/>
        <v>1.7627215145896429</v>
      </c>
      <c r="S32">
        <f t="shared" si="15"/>
        <v>1.7840727800473601</v>
      </c>
    </row>
    <row r="33" spans="1:19" x14ac:dyDescent="0.25">
      <c r="A33">
        <v>12</v>
      </c>
      <c r="B33">
        <f t="shared" si="15"/>
        <v>0.8281100657633349</v>
      </c>
      <c r="C33">
        <f t="shared" si="15"/>
        <v>0.26173841106918161</v>
      </c>
      <c r="D33">
        <f t="shared" si="15"/>
        <v>0.38818129126264012</v>
      </c>
      <c r="E33">
        <f t="shared" si="15"/>
        <v>2.035037669801639</v>
      </c>
      <c r="F33">
        <f t="shared" si="15"/>
        <v>0.74920261781487341</v>
      </c>
      <c r="G33">
        <f t="shared" si="15"/>
        <v>2.3231341321602059</v>
      </c>
      <c r="H33">
        <f t="shared" si="15"/>
        <v>0.43976506182779929</v>
      </c>
      <c r="I33">
        <f t="shared" si="15"/>
        <v>0.87155915144777651</v>
      </c>
      <c r="J33">
        <f t="shared" si="15"/>
        <v>1.2295857105410306</v>
      </c>
      <c r="K33">
        <f t="shared" si="15"/>
        <v>2.4980870829831119</v>
      </c>
      <c r="L33">
        <f t="shared" si="15"/>
        <v>3.6506214971434616</v>
      </c>
      <c r="M33">
        <f t="shared" si="15"/>
        <v>3.609479582248099</v>
      </c>
      <c r="N33">
        <f t="shared" si="15"/>
        <v>2.9331516796157828</v>
      </c>
      <c r="O33">
        <f t="shared" si="15"/>
        <v>1.709230716883603</v>
      </c>
      <c r="P33">
        <f t="shared" si="15"/>
        <v>0.12595162610687893</v>
      </c>
      <c r="Q33">
        <f t="shared" si="15"/>
        <v>0.92166161082983677</v>
      </c>
      <c r="R33">
        <f t="shared" si="15"/>
        <v>1.5404039559304579</v>
      </c>
      <c r="S33">
        <f t="shared" si="15"/>
        <v>2.2835059199795609</v>
      </c>
    </row>
    <row r="34" spans="1:19" x14ac:dyDescent="0.25">
      <c r="A34">
        <v>16</v>
      </c>
      <c r="B34">
        <f t="shared" si="15"/>
        <v>1.7166165040266463</v>
      </c>
      <c r="C34">
        <f t="shared" si="15"/>
        <v>2.5937704838520546</v>
      </c>
      <c r="D34">
        <f t="shared" si="15"/>
        <v>2.8374853492886913</v>
      </c>
      <c r="E34">
        <f t="shared" si="15"/>
        <v>5.0308324743656954</v>
      </c>
      <c r="F34">
        <f t="shared" si="15"/>
        <v>3.9531670838611248</v>
      </c>
      <c r="G34">
        <f t="shared" si="15"/>
        <v>5.6756056504871424</v>
      </c>
      <c r="H34">
        <f t="shared" si="15"/>
        <v>1.3550728181851355</v>
      </c>
      <c r="I34">
        <f t="shared" si="15"/>
        <v>3.1946395325338202</v>
      </c>
      <c r="J34">
        <f t="shared" si="15"/>
        <v>9.5665685044973969E-2</v>
      </c>
      <c r="K34">
        <f t="shared" si="15"/>
        <v>6.0275110500211824</v>
      </c>
      <c r="L34">
        <f t="shared" si="15"/>
        <v>6.6659334868214728</v>
      </c>
      <c r="M34">
        <f t="shared" si="15"/>
        <v>6.0789957177924521</v>
      </c>
      <c r="N34">
        <f t="shared" si="15"/>
        <v>3.2110155933765085</v>
      </c>
      <c r="O34">
        <f t="shared" si="15"/>
        <v>3.98108746637498</v>
      </c>
      <c r="P34">
        <f t="shared" si="15"/>
        <v>2.1030567868270751</v>
      </c>
      <c r="Q34">
        <f t="shared" si="15"/>
        <v>0.53958890662248749</v>
      </c>
      <c r="R34">
        <f t="shared" si="15"/>
        <v>4.4056933688235063</v>
      </c>
      <c r="S34">
        <f t="shared" si="15"/>
        <v>4.2752317906548285</v>
      </c>
    </row>
    <row r="35" spans="1:19" x14ac:dyDescent="0.25">
      <c r="A35">
        <v>20</v>
      </c>
      <c r="B35">
        <f t="shared" si="15"/>
        <v>2.8787022877689523</v>
      </c>
      <c r="C35">
        <f t="shared" si="15"/>
        <v>4.0253677549724429</v>
      </c>
      <c r="D35">
        <f t="shared" si="15"/>
        <v>4.1598615779794486</v>
      </c>
      <c r="E35">
        <f t="shared" si="15"/>
        <v>6.4068242985181456</v>
      </c>
      <c r="F35">
        <f t="shared" si="15"/>
        <v>6.255648309427805</v>
      </c>
      <c r="G35">
        <f t="shared" si="15"/>
        <v>7.3499547888657304</v>
      </c>
      <c r="H35">
        <f t="shared" si="15"/>
        <v>1.2707144887901762</v>
      </c>
      <c r="I35">
        <f t="shared" si="15"/>
        <v>4.3606003660509529</v>
      </c>
      <c r="J35">
        <f t="shared" si="15"/>
        <v>1.3604966495722906</v>
      </c>
      <c r="K35">
        <f t="shared" si="15"/>
        <v>7.5003688620581883</v>
      </c>
      <c r="L35">
        <f t="shared" si="15"/>
        <v>7.6459576321939267</v>
      </c>
      <c r="M35">
        <f t="shared" si="15"/>
        <v>8.1527346469871276</v>
      </c>
      <c r="N35">
        <f t="shared" si="15"/>
        <v>3.5346617854030384</v>
      </c>
      <c r="O35">
        <f t="shared" si="15"/>
        <v>5.028998013881413</v>
      </c>
      <c r="P35">
        <f t="shared" si="15"/>
        <v>4.5283056399218502</v>
      </c>
      <c r="Q35">
        <f t="shared" si="15"/>
        <v>1.3409046234806112</v>
      </c>
      <c r="R35">
        <f t="shared" si="15"/>
        <v>6.2575858953971988</v>
      </c>
      <c r="S35">
        <f t="shared" si="15"/>
        <v>5.8754954504025321</v>
      </c>
    </row>
    <row r="36" spans="1:19" x14ac:dyDescent="0.25">
      <c r="A36">
        <v>30</v>
      </c>
      <c r="B36">
        <f t="shared" si="15"/>
        <v>4.7269564409307847</v>
      </c>
      <c r="C36">
        <f t="shared" si="15"/>
        <v>5.7547706094092703</v>
      </c>
      <c r="D36">
        <f t="shared" si="15"/>
        <v>7.3930537483870822</v>
      </c>
      <c r="E36">
        <f t="shared" si="15"/>
        <v>8.8654800955125381</v>
      </c>
      <c r="F36">
        <f t="shared" si="15"/>
        <v>9.0140669007670908</v>
      </c>
      <c r="G36">
        <f t="shared" si="15"/>
        <v>9.7954489173476276</v>
      </c>
      <c r="H36">
        <f t="shared" si="15"/>
        <v>4.3473452235537025</v>
      </c>
      <c r="I36">
        <f t="shared" si="15"/>
        <v>6.9733878972575738</v>
      </c>
      <c r="J36">
        <f t="shared" si="15"/>
        <v>5.1313751029082724</v>
      </c>
      <c r="K36">
        <f t="shared" si="15"/>
        <v>9.1386463027433749</v>
      </c>
      <c r="L36">
        <f t="shared" si="15"/>
        <v>8.9955221014525932</v>
      </c>
      <c r="M36">
        <f t="shared" si="15"/>
        <v>10.502828436169125</v>
      </c>
      <c r="N36">
        <f t="shared" si="15"/>
        <v>3.0433509541233335</v>
      </c>
      <c r="O36">
        <f t="shared" si="15"/>
        <v>6.7161887651902035</v>
      </c>
      <c r="P36">
        <f t="shared" si="15"/>
        <v>9.6099395158508898</v>
      </c>
      <c r="Q36">
        <f t="shared" si="15"/>
        <v>1.0662611308488721</v>
      </c>
      <c r="R36">
        <f t="shared" si="15"/>
        <v>8.8427224816309717</v>
      </c>
      <c r="S36">
        <f t="shared" si="15"/>
        <v>9.5809683805387991</v>
      </c>
    </row>
    <row r="37" spans="1:19" x14ac:dyDescent="0.25">
      <c r="A37">
        <v>40</v>
      </c>
      <c r="B37">
        <f t="shared" si="15"/>
        <v>5.6748258377228566</v>
      </c>
      <c r="C37">
        <f t="shared" si="15"/>
        <v>5.6673778294977311</v>
      </c>
      <c r="D37">
        <f t="shared" si="15"/>
        <v>8.0743842802634234</v>
      </c>
      <c r="E37">
        <f t="shared" si="15"/>
        <v>9.2005258569962081</v>
      </c>
      <c r="F37">
        <f t="shared" si="15"/>
        <v>7.0445442857054417</v>
      </c>
      <c r="G37">
        <f t="shared" si="15"/>
        <v>9.7943884868377751</v>
      </c>
      <c r="H37">
        <f t="shared" si="15"/>
        <v>5.2542128747244448</v>
      </c>
      <c r="I37">
        <f t="shared" si="15"/>
        <v>5.6842454189517539</v>
      </c>
      <c r="J37">
        <f t="shared" si="15"/>
        <v>5.131342333507618</v>
      </c>
      <c r="K37">
        <f t="shared" si="15"/>
        <v>8.4038037789819455</v>
      </c>
      <c r="L37">
        <f t="shared" si="15"/>
        <v>8.4172968143416256</v>
      </c>
      <c r="M37">
        <f t="shared" si="15"/>
        <v>9.5320252894064481</v>
      </c>
      <c r="N37">
        <f t="shared" si="15"/>
        <v>7.6595804336850719</v>
      </c>
      <c r="O37">
        <f t="shared" si="15"/>
        <v>9.0303054159560077</v>
      </c>
      <c r="P37">
        <f t="shared" si="15"/>
        <v>6.2910970413961849</v>
      </c>
      <c r="Q37">
        <f t="shared" si="15"/>
        <v>0.45844455857580613</v>
      </c>
      <c r="R37">
        <f t="shared" si="15"/>
        <v>8.3220988845864099</v>
      </c>
      <c r="S37">
        <f t="shared" si="15"/>
        <v>8.2503210834803653</v>
      </c>
    </row>
    <row r="38" spans="1:19" x14ac:dyDescent="0.25">
      <c r="A38">
        <v>60</v>
      </c>
      <c r="B38">
        <f t="shared" si="15"/>
        <v>5.5296386064088665</v>
      </c>
      <c r="C38">
        <f t="shared" si="15"/>
        <v>5.1586720596498878</v>
      </c>
      <c r="D38">
        <f t="shared" si="15"/>
        <v>5.1342604094562319</v>
      </c>
      <c r="E38">
        <f t="shared" si="15"/>
        <v>5.1067742926357766</v>
      </c>
      <c r="F38">
        <f t="shared" si="15"/>
        <v>6.5950854793918978</v>
      </c>
      <c r="G38">
        <f t="shared" si="15"/>
        <v>5.323375345194421</v>
      </c>
      <c r="H38">
        <f t="shared" si="15"/>
        <v>3.8365815703810426</v>
      </c>
      <c r="I38">
        <f t="shared" si="15"/>
        <v>4.4400117684703844</v>
      </c>
      <c r="J38">
        <f t="shared" si="15"/>
        <v>5.9771058851648036</v>
      </c>
      <c r="K38">
        <f t="shared" si="15"/>
        <v>4.524459156845694</v>
      </c>
      <c r="L38">
        <f t="shared" si="15"/>
        <v>3.1682965623051587</v>
      </c>
      <c r="M38">
        <f t="shared" si="15"/>
        <v>5.438016150888302</v>
      </c>
      <c r="N38">
        <f t="shared" si="15"/>
        <v>7.4908825372109504</v>
      </c>
      <c r="O38">
        <f t="shared" si="15"/>
        <v>4.1066667189895441</v>
      </c>
      <c r="P38">
        <f t="shared" si="15"/>
        <v>0.88612241204225484</v>
      </c>
      <c r="Q38">
        <f t="shared" si="15"/>
        <v>1.7478635744259208</v>
      </c>
      <c r="R38">
        <f t="shared" si="15"/>
        <v>4.813655718010267</v>
      </c>
      <c r="S38">
        <f t="shared" si="15"/>
        <v>3.9401892847942506</v>
      </c>
    </row>
    <row r="39" spans="1:19" x14ac:dyDescent="0.25">
      <c r="A39">
        <v>80</v>
      </c>
      <c r="B39">
        <f t="shared" si="15"/>
        <v>0.45510119231703072</v>
      </c>
      <c r="C39">
        <f t="shared" si="15"/>
        <v>0.19145801218412828</v>
      </c>
      <c r="D39">
        <f t="shared" si="15"/>
        <v>1.4198132489229636</v>
      </c>
      <c r="E39">
        <f t="shared" si="15"/>
        <v>3.3872300015555652</v>
      </c>
      <c r="F39">
        <f t="shared" si="15"/>
        <v>2.6219269080952614</v>
      </c>
      <c r="G39">
        <f t="shared" si="15"/>
        <v>4.0009748389815911</v>
      </c>
      <c r="H39">
        <f t="shared" si="15"/>
        <v>0.5792789222205954</v>
      </c>
      <c r="I39">
        <f t="shared" si="15"/>
        <v>1.0781475643302372</v>
      </c>
      <c r="J39">
        <f t="shared" si="15"/>
        <v>0.10053369507208743</v>
      </c>
      <c r="K39">
        <f t="shared" si="15"/>
        <v>3.3272770463706252</v>
      </c>
      <c r="L39">
        <f t="shared" si="15"/>
        <v>3.7164529266683815</v>
      </c>
      <c r="M39">
        <f t="shared" si="15"/>
        <v>5.4982270739392618</v>
      </c>
      <c r="N39">
        <f t="shared" si="15"/>
        <v>0.70114979934618304</v>
      </c>
      <c r="O39">
        <f t="shared" si="15"/>
        <v>1.6435328019858986</v>
      </c>
      <c r="P39">
        <f t="shared" si="15"/>
        <v>3.5993827295645247</v>
      </c>
      <c r="Q39">
        <f t="shared" si="15"/>
        <v>1.8515402170605029</v>
      </c>
      <c r="R39">
        <f t="shared" si="15"/>
        <v>2.848149117927619</v>
      </c>
      <c r="S39">
        <f t="shared" si="15"/>
        <v>2.1652846538763413</v>
      </c>
    </row>
    <row r="40" spans="1:19" x14ac:dyDescent="0.25">
      <c r="A40">
        <v>100</v>
      </c>
      <c r="B40">
        <f t="shared" si="15"/>
        <v>9.1322344060054377</v>
      </c>
      <c r="C40">
        <f t="shared" si="15"/>
        <v>10.485753967366804</v>
      </c>
      <c r="D40">
        <f t="shared" si="15"/>
        <v>12.529863040600787</v>
      </c>
      <c r="E40">
        <f t="shared" si="15"/>
        <v>15.593808702452208</v>
      </c>
      <c r="F40">
        <f t="shared" si="15"/>
        <v>14.395408197950431</v>
      </c>
      <c r="G40">
        <f t="shared" si="15"/>
        <v>17.227049682489309</v>
      </c>
      <c r="H40">
        <f t="shared" si="15"/>
        <v>7.738879511678789</v>
      </c>
      <c r="I40">
        <f t="shared" si="15"/>
        <v>10.535731969424376</v>
      </c>
      <c r="J40">
        <f t="shared" si="15"/>
        <v>8.8072035540578923</v>
      </c>
      <c r="K40">
        <f t="shared" si="15"/>
        <v>15.36963892380686</v>
      </c>
      <c r="L40">
        <f t="shared" si="15"/>
        <v>14.781941230928368</v>
      </c>
      <c r="M40">
        <f t="shared" si="15"/>
        <v>17.653197109964566</v>
      </c>
      <c r="N40">
        <f t="shared" si="15"/>
        <v>9.964018258094768</v>
      </c>
      <c r="O40">
        <f t="shared" si="15"/>
        <v>12.607968913067012</v>
      </c>
      <c r="P40">
        <f t="shared" si="15"/>
        <v>0.5896418850020666</v>
      </c>
      <c r="Q40">
        <f t="shared" si="15"/>
        <v>1.7438890631587469</v>
      </c>
      <c r="R40">
        <f t="shared" si="15"/>
        <v>14.24823315438249</v>
      </c>
      <c r="S40">
        <f t="shared" si="15"/>
        <v>14.523367251030891</v>
      </c>
    </row>
  </sheetData>
  <sortState xmlns:xlrd2="http://schemas.microsoft.com/office/spreadsheetml/2017/richdata2" ref="A2:S12">
    <sortCondition ref="A1:A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B7CB-A2C6-4AE7-A384-84FBDCF02C31}">
  <dimension ref="A1:S40"/>
  <sheetViews>
    <sheetView workbookViewId="0">
      <selection activeCell="B16" sqref="B16:S1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f>AVERAGE('100 loading'!A2,'100 unloading'!A2)</f>
        <v>0</v>
      </c>
      <c r="B2">
        <f>AVERAGE('100 loading'!B2,'100 unloading'!B2)</f>
        <v>32.630275948168794</v>
      </c>
      <c r="C2">
        <f>AVERAGE('100 loading'!C2,'100 unloading'!C2)</f>
        <v>67.165788231333607</v>
      </c>
      <c r="D2">
        <f>AVERAGE('100 loading'!D2,'100 unloading'!D2)</f>
        <v>302.73318370815366</v>
      </c>
      <c r="E2">
        <f>AVERAGE('100 loading'!E2,'100 unloading'!E2)</f>
        <v>478.07878681379992</v>
      </c>
      <c r="F2">
        <f>AVERAGE('100 loading'!F2,'100 unloading'!F2)</f>
        <v>161.33235759846855</v>
      </c>
      <c r="G2">
        <f>AVERAGE('100 loading'!G2,'100 unloading'!G2)</f>
        <v>381.10102455818264</v>
      </c>
      <c r="H2">
        <f>AVERAGE('100 loading'!H2,'100 unloading'!H2)</f>
        <v>490.60387615987099</v>
      </c>
      <c r="I2">
        <f>AVERAGE('100 loading'!I2,'100 unloading'!I2)</f>
        <v>385.22922363018847</v>
      </c>
      <c r="J2">
        <f>AVERAGE('100 loading'!J2,'100 unloading'!J2)</f>
        <v>97.112052096005584</v>
      </c>
      <c r="K2">
        <f>AVERAGE('100 loading'!K2,'100 unloading'!K2)</f>
        <v>268.73563117499668</v>
      </c>
      <c r="L2">
        <f>AVERAGE('100 loading'!L2,'100 unloading'!L2)</f>
        <v>606.05360118917031</v>
      </c>
      <c r="M2">
        <f>AVERAGE('100 loading'!M2,'100 unloading'!M2)</f>
        <v>300.70222397761836</v>
      </c>
      <c r="N2">
        <f>AVERAGE('100 loading'!N2,'100 unloading'!N2)</f>
        <v>501.47487349359847</v>
      </c>
      <c r="O2">
        <f>AVERAGE('100 loading'!O2,'100 unloading'!O2)</f>
        <v>146.09222717717756</v>
      </c>
      <c r="P2">
        <f>AVERAGE('100 loading'!P2,'100 unloading'!P2)</f>
        <v>2.9752186437327892</v>
      </c>
      <c r="Q2">
        <f>AVERAGE('100 loading'!Q2,'100 unloading'!Q2)</f>
        <v>25.11497302249354</v>
      </c>
      <c r="R2">
        <f>AVERAGE('100 loading'!R2,'100 unloading'!R2)</f>
        <v>602.33497465700202</v>
      </c>
      <c r="S2">
        <f>AVERAGE('100 loading'!S2,'100 unloading'!S2)</f>
        <v>211.44389746827923</v>
      </c>
    </row>
    <row r="3" spans="1:19" x14ac:dyDescent="0.25">
      <c r="A3">
        <f>AVERAGE('100 loading'!A3,'100 unloading'!A3)</f>
        <v>4</v>
      </c>
      <c r="B3">
        <f>AVERAGE('100 loading'!B3,'100 unloading'!B3)</f>
        <v>53.817861721066414</v>
      </c>
      <c r="C3">
        <f>AVERAGE('100 loading'!C3,'100 unloading'!C3)</f>
        <v>103.40505457657068</v>
      </c>
      <c r="D3">
        <f>AVERAGE('100 loading'!D3,'100 unloading'!D3)</f>
        <v>348.54326061233621</v>
      </c>
      <c r="E3">
        <f>AVERAGE('100 loading'!E3,'100 unloading'!E3)</f>
        <v>533.30578923117241</v>
      </c>
      <c r="F3">
        <f>AVERAGE('100 loading'!F3,'100 unloading'!F3)</f>
        <v>198.32621650389399</v>
      </c>
      <c r="G3">
        <f>AVERAGE('100 loading'!G3,'100 unloading'!G3)</f>
        <v>427.98124996530305</v>
      </c>
      <c r="H3">
        <f>AVERAGE('100 loading'!H3,'100 unloading'!H3)</f>
        <v>513.41520483324803</v>
      </c>
      <c r="I3">
        <f>AVERAGE('100 loading'!I3,'100 unloading'!I3)</f>
        <v>425.97510409024164</v>
      </c>
      <c r="J3">
        <f>AVERAGE('100 loading'!J3,'100 unloading'!J3)</f>
        <v>127.54303177131564</v>
      </c>
      <c r="K3">
        <f>AVERAGE('100 loading'!K3,'100 unloading'!K3)</f>
        <v>322.66407704749258</v>
      </c>
      <c r="L3">
        <f>AVERAGE('100 loading'!L3,'100 unloading'!L3)</f>
        <v>653.00207648656317</v>
      </c>
      <c r="M3">
        <f>AVERAGE('100 loading'!M3,'100 unloading'!M3)</f>
        <v>333.64747379223115</v>
      </c>
      <c r="N3">
        <f>AVERAGE('100 loading'!N3,'100 unloading'!N3)</f>
        <v>514.72115451507034</v>
      </c>
      <c r="O3">
        <f>AVERAGE('100 loading'!O3,'100 unloading'!O3)</f>
        <v>199.38600684269457</v>
      </c>
      <c r="P3">
        <f>AVERAGE('100 loading'!P3,'100 unloading'!P3)</f>
        <v>3.1522091571422077</v>
      </c>
      <c r="Q3">
        <f>AVERAGE('100 loading'!Q3,'100 unloading'!Q3)</f>
        <v>34.67271347553573</v>
      </c>
      <c r="R3">
        <f>AVERAGE('100 loading'!R3,'100 unloading'!R3)</f>
        <v>648.74947097955055</v>
      </c>
      <c r="S3">
        <f>AVERAGE('100 loading'!S3,'100 unloading'!S3)</f>
        <v>275.90929361753649</v>
      </c>
    </row>
    <row r="4" spans="1:19" x14ac:dyDescent="0.25">
      <c r="A4">
        <f>AVERAGE('100 loading'!A4,'100 unloading'!A4)</f>
        <v>8</v>
      </c>
      <c r="B4">
        <f>AVERAGE('100 loading'!B4,'100 unloading'!B4)</f>
        <v>89.389732357911129</v>
      </c>
      <c r="C4">
        <f>AVERAGE('100 loading'!C4,'100 unloading'!C4)</f>
        <v>136.83366815802106</v>
      </c>
      <c r="D4">
        <f>AVERAGE('100 loading'!D4,'100 unloading'!D4)</f>
        <v>389.42379370586445</v>
      </c>
      <c r="E4">
        <f>AVERAGE('100 loading'!E4,'100 unloading'!E4)</f>
        <v>577.28647962864943</v>
      </c>
      <c r="F4">
        <f>AVERAGE('100 loading'!F4,'100 unloading'!F4)</f>
        <v>240.21492339086484</v>
      </c>
      <c r="G4">
        <f>AVERAGE('100 loading'!G4,'100 unloading'!G4)</f>
        <v>465.55863082351664</v>
      </c>
      <c r="H4">
        <f>AVERAGE('100 loading'!H4,'100 unloading'!H4)</f>
        <v>538.28809877390904</v>
      </c>
      <c r="I4">
        <f>AVERAGE('100 loading'!I4,'100 unloading'!I4)</f>
        <v>465.62058491147343</v>
      </c>
      <c r="J4">
        <f>AVERAGE('100 loading'!J4,'100 unloading'!J4)</f>
        <v>159.3130662206928</v>
      </c>
      <c r="K4">
        <f>AVERAGE('100 loading'!K4,'100 unloading'!K4)</f>
        <v>373.15596013607126</v>
      </c>
      <c r="L4">
        <f>AVERAGE('100 loading'!L4,'100 unloading'!L4)</f>
        <v>694.73461583372091</v>
      </c>
      <c r="M4">
        <f>AVERAGE('100 loading'!M4,'100 unloading'!M4)</f>
        <v>362.55140183340643</v>
      </c>
      <c r="N4">
        <f>AVERAGE('100 loading'!N4,'100 unloading'!N4)</f>
        <v>527.96027612177181</v>
      </c>
      <c r="O4">
        <f>AVERAGE('100 loading'!O4,'100 unloading'!O4)</f>
        <v>254.37310411555106</v>
      </c>
      <c r="P4">
        <f>AVERAGE('100 loading'!P4,'100 unloading'!P4)</f>
        <v>3.0726695666396688</v>
      </c>
      <c r="Q4">
        <f>AVERAGE('100 loading'!Q4,'100 unloading'!Q4)</f>
        <v>54.898198515865587</v>
      </c>
      <c r="R4">
        <f>AVERAGE('100 loading'!R4,'100 unloading'!R4)</f>
        <v>685.26582183782602</v>
      </c>
      <c r="S4">
        <f>AVERAGE('100 loading'!S4,'100 unloading'!S4)</f>
        <v>330.05674249508962</v>
      </c>
    </row>
    <row r="5" spans="1:19" x14ac:dyDescent="0.25">
      <c r="A5">
        <f>AVERAGE('100 loading'!A5,'100 unloading'!A5)</f>
        <v>12</v>
      </c>
      <c r="B5">
        <f>AVERAGE('100 loading'!B5,'100 unloading'!B5)</f>
        <v>127.16482988056252</v>
      </c>
      <c r="C5">
        <f>AVERAGE('100 loading'!C5,'100 unloading'!C5)</f>
        <v>188.65218655309036</v>
      </c>
      <c r="D5">
        <f>AVERAGE('100 loading'!D5,'100 unloading'!D5)</f>
        <v>432.78668297304864</v>
      </c>
      <c r="E5">
        <f>AVERAGE('100 loading'!E5,'100 unloading'!E5)</f>
        <v>623.08436237286116</v>
      </c>
      <c r="F5">
        <f>AVERAGE('100 loading'!F5,'100 unloading'!F5)</f>
        <v>285.267708061299</v>
      </c>
      <c r="G5">
        <f>AVERAGE('100 loading'!G5,'100 unloading'!G5)</f>
        <v>507.06397445782358</v>
      </c>
      <c r="H5">
        <f>AVERAGE('100 loading'!H5,'100 unloading'!H5)</f>
        <v>576.25139190908055</v>
      </c>
      <c r="I5">
        <f>AVERAGE('100 loading'!I5,'100 unloading'!I5)</f>
        <v>511.0210676224566</v>
      </c>
      <c r="J5">
        <f>AVERAGE('100 loading'!J5,'100 unloading'!J5)</f>
        <v>194.87879047085838</v>
      </c>
      <c r="K5">
        <f>AVERAGE('100 loading'!K5,'100 unloading'!K5)</f>
        <v>429.81407989449082</v>
      </c>
      <c r="L5">
        <f>AVERAGE('100 loading'!L5,'100 unloading'!L5)</f>
        <v>740.89708974327209</v>
      </c>
      <c r="M5">
        <f>AVERAGE('100 loading'!M5,'100 unloading'!M5)</f>
        <v>393.91955225552772</v>
      </c>
      <c r="N5">
        <f>AVERAGE('100 loading'!N5,'100 unloading'!N5)</f>
        <v>550.76616151289045</v>
      </c>
      <c r="O5">
        <f>AVERAGE('100 loading'!O5,'100 unloading'!O5)</f>
        <v>325.56997156267488</v>
      </c>
      <c r="P5">
        <f>AVERAGE('100 loading'!P5,'100 unloading'!P5)</f>
        <v>5.972332017547167</v>
      </c>
      <c r="Q5">
        <f>AVERAGE('100 loading'!Q5,'100 unloading'!Q5)</f>
        <v>80.89614276656593</v>
      </c>
      <c r="R5">
        <f>AVERAGE('100 loading'!R5,'100 unloading'!R5)</f>
        <v>727.19499648238207</v>
      </c>
      <c r="S5">
        <f>AVERAGE('100 loading'!S5,'100 unloading'!S5)</f>
        <v>388.09452785527702</v>
      </c>
    </row>
    <row r="6" spans="1:19" x14ac:dyDescent="0.25">
      <c r="A6">
        <f>AVERAGE('100 loading'!A6,'100 unloading'!A6)</f>
        <v>16</v>
      </c>
      <c r="B6">
        <f>AVERAGE('100 loading'!B6,'100 unloading'!B6)</f>
        <v>169.20719034723527</v>
      </c>
      <c r="C6">
        <f>AVERAGE('100 loading'!C6,'100 unloading'!C6)</f>
        <v>236.54383385251759</v>
      </c>
      <c r="D6">
        <f>AVERAGE('100 loading'!D6,'100 unloading'!D6)</f>
        <v>475.36526852274358</v>
      </c>
      <c r="E6">
        <f>AVERAGE('100 loading'!E6,'100 unloading'!E6)</f>
        <v>667.87527238573819</v>
      </c>
      <c r="F6">
        <f>AVERAGE('100 loading'!F6,'100 unloading'!F6)</f>
        <v>329.69940520154432</v>
      </c>
      <c r="G6">
        <f>AVERAGE('100 loading'!G6,'100 unloading'!G6)</f>
        <v>544.65152489201</v>
      </c>
      <c r="H6">
        <f>AVERAGE('100 loading'!H6,'100 unloading'!H6)</f>
        <v>612.85165917364122</v>
      </c>
      <c r="I6">
        <f>AVERAGE('100 loading'!I6,'100 unloading'!I6)</f>
        <v>552.04946673310872</v>
      </c>
      <c r="J6">
        <f>AVERAGE('100 loading'!J6,'100 unloading'!J6)</f>
        <v>228.13640244673923</v>
      </c>
      <c r="K6">
        <f>AVERAGE('100 loading'!K6,'100 unloading'!K6)</f>
        <v>478.74562390992475</v>
      </c>
      <c r="L6">
        <f>AVERAGE('100 loading'!L6,'100 unloading'!L6)</f>
        <v>781.24782012494313</v>
      </c>
      <c r="M6">
        <f>AVERAGE('100 loading'!M6,'100 unloading'!M6)</f>
        <v>420.51364779376183</v>
      </c>
      <c r="N6">
        <f>AVERAGE('100 loading'!N6,'100 unloading'!N6)</f>
        <v>581.73957377488409</v>
      </c>
      <c r="O6">
        <f>AVERAGE('100 loading'!O6,'100 unloading'!O6)</f>
        <v>384.25954559340346</v>
      </c>
      <c r="P6">
        <f>AVERAGE('100 loading'!P6,'100 unloading'!P6)</f>
        <v>11.301118320232755</v>
      </c>
      <c r="Q6">
        <f>AVERAGE('100 loading'!Q6,'100 unloading'!Q6)</f>
        <v>107.54604862411226</v>
      </c>
      <c r="R6">
        <f>AVERAGE('100 loading'!R6,'100 unloading'!R6)</f>
        <v>766.81749294743543</v>
      </c>
      <c r="S6">
        <f>AVERAGE('100 loading'!S6,'100 unloading'!S6)</f>
        <v>436.72846986347952</v>
      </c>
    </row>
    <row r="7" spans="1:19" x14ac:dyDescent="0.25">
      <c r="A7">
        <f>AVERAGE('100 loading'!A7,'100 unloading'!A7)</f>
        <v>20</v>
      </c>
      <c r="B7">
        <f>AVERAGE('100 loading'!B7,'100 unloading'!B7)</f>
        <v>205.66803431813776</v>
      </c>
      <c r="C7">
        <f>AVERAGE('100 loading'!C7,'100 unloading'!C7)</f>
        <v>278.9233005354597</v>
      </c>
      <c r="D7">
        <f>AVERAGE('100 loading'!D7,'100 unloading'!D7)</f>
        <v>514.72266008102201</v>
      </c>
      <c r="E7">
        <f>AVERAGE('100 loading'!E7,'100 unloading'!E7)</f>
        <v>706.63718642239814</v>
      </c>
      <c r="F7">
        <f>AVERAGE('100 loading'!F7,'100 unloading'!F7)</f>
        <v>368.2325691700479</v>
      </c>
      <c r="G7">
        <f>AVERAGE('100 loading'!G7,'100 unloading'!G7)</f>
        <v>574.59649126706518</v>
      </c>
      <c r="H7">
        <f>AVERAGE('100 loading'!H7,'100 unloading'!H7)</f>
        <v>638.8022006378884</v>
      </c>
      <c r="I7">
        <f>AVERAGE('100 loading'!I7,'100 unloading'!I7)</f>
        <v>585.92908529635838</v>
      </c>
      <c r="J7">
        <f>AVERAGE('100 loading'!J7,'100 unloading'!J7)</f>
        <v>266.15798671980832</v>
      </c>
      <c r="K7">
        <f>AVERAGE('100 loading'!K7,'100 unloading'!K7)</f>
        <v>517.61893313170867</v>
      </c>
      <c r="L7">
        <f>AVERAGE('100 loading'!L7,'100 unloading'!L7)</f>
        <v>814.06780234677331</v>
      </c>
      <c r="M7">
        <f>AVERAGE('100 loading'!M7,'100 unloading'!M7)</f>
        <v>443.43075081946665</v>
      </c>
      <c r="N7">
        <f>AVERAGE('100 loading'!N7,'100 unloading'!N7)</f>
        <v>614.25453860231323</v>
      </c>
      <c r="O7">
        <f>AVERAGE('100 loading'!O7,'100 unloading'!O7)</f>
        <v>432.18734621108638</v>
      </c>
      <c r="P7">
        <f>AVERAGE('100 loading'!P7,'100 unloading'!P7)</f>
        <v>15.132063981846354</v>
      </c>
      <c r="Q7">
        <f>AVERAGE('100 loading'!Q7,'100 unloading'!Q7)</f>
        <v>130.71116289139442</v>
      </c>
      <c r="R7">
        <f>AVERAGE('100 loading'!R7,'100 unloading'!R7)</f>
        <v>801.63287155941703</v>
      </c>
      <c r="S7">
        <f>AVERAGE('100 loading'!S7,'100 unloading'!S7)</f>
        <v>478.76011564636678</v>
      </c>
    </row>
    <row r="8" spans="1:19" x14ac:dyDescent="0.25">
      <c r="A8">
        <f>AVERAGE('100 loading'!A8,'100 unloading'!A8)</f>
        <v>30</v>
      </c>
      <c r="B8">
        <f>AVERAGE('100 loading'!B8,'100 unloading'!B8)</f>
        <v>280.82471867528204</v>
      </c>
      <c r="C8">
        <f>AVERAGE('100 loading'!C8,'100 unloading'!C8)</f>
        <v>371.51502482152171</v>
      </c>
      <c r="D8">
        <f>AVERAGE('100 loading'!D8,'100 unloading'!D8)</f>
        <v>605.03087874310654</v>
      </c>
      <c r="E8">
        <f>AVERAGE('100 loading'!E8,'100 unloading'!E8)</f>
        <v>794.99278859228116</v>
      </c>
      <c r="F8">
        <f>AVERAGE('100 loading'!F8,'100 unloading'!F8)</f>
        <v>453.80831551647935</v>
      </c>
      <c r="G8">
        <f>AVERAGE('100 loading'!G8,'100 unloading'!G8)</f>
        <v>649.05010293310147</v>
      </c>
      <c r="H8">
        <f>AVERAGE('100 loading'!H8,'100 unloading'!H8)</f>
        <v>713.3121296465597</v>
      </c>
      <c r="I8">
        <f>AVERAGE('100 loading'!I8,'100 unloading'!I8)</f>
        <v>673.20687016889497</v>
      </c>
      <c r="J8">
        <f>AVERAGE('100 loading'!J8,'100 unloading'!J8)</f>
        <v>361.53120949043813</v>
      </c>
      <c r="K8">
        <f>AVERAGE('100 loading'!K8,'100 unloading'!K8)</f>
        <v>605.88509675135151</v>
      </c>
      <c r="L8">
        <f>AVERAGE('100 loading'!L8,'100 unloading'!L8)</f>
        <v>885.27467181830139</v>
      </c>
      <c r="M8">
        <f>AVERAGE('100 loading'!M8,'100 unloading'!M8)</f>
        <v>494.98520840344605</v>
      </c>
      <c r="N8">
        <f>AVERAGE('100 loading'!N8,'100 unloading'!N8)</f>
        <v>737.86737806832707</v>
      </c>
      <c r="O8">
        <f>AVERAGE('100 loading'!O8,'100 unloading'!O8)</f>
        <v>544.3071370203653</v>
      </c>
      <c r="P8">
        <f>AVERAGE('100 loading'!P8,'100 unloading'!P8)</f>
        <v>26.191619455708036</v>
      </c>
      <c r="Q8">
        <f>AVERAGE('100 loading'!Q8,'100 unloading'!Q8)</f>
        <v>193.90020619478497</v>
      </c>
      <c r="R8">
        <f>AVERAGE('100 loading'!R8,'100 unloading'!R8)</f>
        <v>881.54316963552162</v>
      </c>
      <c r="S8">
        <f>AVERAGE('100 loading'!S8,'100 unloading'!S8)</f>
        <v>587.56624053352698</v>
      </c>
    </row>
    <row r="9" spans="1:19" x14ac:dyDescent="0.25">
      <c r="A9">
        <f>AVERAGE('100 loading'!A9,'100 unloading'!A9)</f>
        <v>40</v>
      </c>
      <c r="B9">
        <f>AVERAGE('100 loading'!B9,'100 unloading'!B9)</f>
        <v>364.60661387638316</v>
      </c>
      <c r="C9">
        <f>AVERAGE('100 loading'!C9,'100 unloading'!C9)</f>
        <v>452.56210258345243</v>
      </c>
      <c r="D9">
        <f>AVERAGE('100 loading'!D9,'100 unloading'!D9)</f>
        <v>686.34198005821258</v>
      </c>
      <c r="E9">
        <f>AVERAGE('100 loading'!E9,'100 unloading'!E9)</f>
        <v>874.34015594416132</v>
      </c>
      <c r="F9">
        <f>AVERAGE('100 loading'!F9,'100 unloading'!F9)</f>
        <v>514.08088756720929</v>
      </c>
      <c r="G9">
        <f>AVERAGE('100 loading'!G9,'100 unloading'!G9)</f>
        <v>711.64078022216586</v>
      </c>
      <c r="H9">
        <f>AVERAGE('100 loading'!H9,'100 unloading'!H9)</f>
        <v>787.24140597483699</v>
      </c>
      <c r="I9">
        <f>AVERAGE('100 loading'!I9,'100 unloading'!I9)</f>
        <v>743.90927765897641</v>
      </c>
      <c r="J9">
        <f>AVERAGE('100 loading'!J9,'100 unloading'!J9)</f>
        <v>445.18058900961637</v>
      </c>
      <c r="K9">
        <f>AVERAGE('100 loading'!K9,'100 unloading'!K9)</f>
        <v>678.28292605767467</v>
      </c>
      <c r="L9">
        <f>AVERAGE('100 loading'!L9,'100 unloading'!L9)</f>
        <v>946.73004914047078</v>
      </c>
      <c r="M9">
        <f>AVERAGE('100 loading'!M9,'100 unloading'!M9)</f>
        <v>539.89710731628998</v>
      </c>
      <c r="N9">
        <f>AVERAGE('100 loading'!N9,'100 unloading'!N9)</f>
        <v>869.64650430747338</v>
      </c>
      <c r="O9">
        <f>AVERAGE('100 loading'!O9,'100 unloading'!O9)</f>
        <v>658.80518181924253</v>
      </c>
      <c r="P9">
        <f>AVERAGE('100 loading'!P9,'100 unloading'!P9)</f>
        <v>56.759971294149686</v>
      </c>
      <c r="Q9">
        <f>AVERAGE('100 loading'!Q9,'100 unloading'!Q9)</f>
        <v>267.49538233474294</v>
      </c>
      <c r="R9">
        <f>AVERAGE('100 loading'!R9,'100 unloading'!R9)</f>
        <v>948.46878530392848</v>
      </c>
      <c r="S9">
        <f>AVERAGE('100 loading'!S9,'100 unloading'!S9)</f>
        <v>676.17693784301798</v>
      </c>
    </row>
    <row r="10" spans="1:19" x14ac:dyDescent="0.25">
      <c r="A10">
        <f>AVERAGE('100 loading'!A10,'100 unloading'!A10)</f>
        <v>60</v>
      </c>
      <c r="B10">
        <f>AVERAGE('100 loading'!B10,'100 unloading'!B10)</f>
        <v>500.28709191148056</v>
      </c>
      <c r="C10">
        <f>AVERAGE('100 loading'!C10,'100 unloading'!C10)</f>
        <v>606.57465434567666</v>
      </c>
      <c r="D10">
        <f>AVERAGE('100 loading'!D10,'100 unloading'!D10)</f>
        <v>813.5263209360719</v>
      </c>
      <c r="E10">
        <f>AVERAGE('100 loading'!E10,'100 unloading'!E10)</f>
        <v>996.55841319050182</v>
      </c>
      <c r="F10">
        <f>AVERAGE('100 loading'!F10,'100 unloading'!F10)</f>
        <v>636.99570402119423</v>
      </c>
      <c r="G10">
        <f>AVERAGE('100 loading'!G10,'100 unloading'!G10)</f>
        <v>809.73122723927122</v>
      </c>
      <c r="H10">
        <f>AVERAGE('100 loading'!H10,'100 unloading'!H10)</f>
        <v>907.98815740684813</v>
      </c>
      <c r="I10">
        <f>AVERAGE('100 loading'!I10,'100 unloading'!I10)</f>
        <v>877.15255864731125</v>
      </c>
      <c r="J10">
        <f>AVERAGE('100 loading'!J10,'100 unloading'!J10)</f>
        <v>588.63049910659367</v>
      </c>
      <c r="K10">
        <f>AVERAGE('100 loading'!K10,'100 unloading'!K10)</f>
        <v>801.55778978484682</v>
      </c>
      <c r="L10">
        <f>AVERAGE('100 loading'!L10,'100 unloading'!L10)</f>
        <v>1038.7898596960706</v>
      </c>
      <c r="M10">
        <f>AVERAGE('100 loading'!M10,'100 unloading'!M10)</f>
        <v>604.71572821978475</v>
      </c>
      <c r="N10">
        <f>AVERAGE('100 loading'!N10,'100 unloading'!N10)</f>
        <v>1043.9755383886295</v>
      </c>
      <c r="O10">
        <f>AVERAGE('100 loading'!O10,'100 unloading'!O10)</f>
        <v>821.56077507770817</v>
      </c>
      <c r="P10">
        <f>AVERAGE('100 loading'!P10,'100 unloading'!P10)</f>
        <v>111.83632076335037</v>
      </c>
      <c r="Q10">
        <f>AVERAGE('100 loading'!Q10,'100 unloading'!Q10)</f>
        <v>421.60054223259885</v>
      </c>
      <c r="R10">
        <f>AVERAGE('100 loading'!R10,'100 unloading'!R10)</f>
        <v>1054.9544268379063</v>
      </c>
      <c r="S10">
        <f>AVERAGE('100 loading'!S10,'100 unloading'!S10)</f>
        <v>809.86913521462373</v>
      </c>
    </row>
    <row r="11" spans="1:19" x14ac:dyDescent="0.25">
      <c r="A11">
        <f>AVERAGE('100 loading'!A11,'100 unloading'!A11)</f>
        <v>80</v>
      </c>
      <c r="B11">
        <f>AVERAGE('100 loading'!B11,'100 unloading'!B11)</f>
        <v>615.95519118669324</v>
      </c>
      <c r="C11">
        <f>AVERAGE('100 loading'!C11,'100 unloading'!C11)</f>
        <v>744.91254385024774</v>
      </c>
      <c r="D11">
        <f>AVERAGE('100 loading'!D11,'100 unloading'!D11)</f>
        <v>919.51766219183685</v>
      </c>
      <c r="E11">
        <f>AVERAGE('100 loading'!E11,'100 unloading'!E11)</f>
        <v>1094.4839222718992</v>
      </c>
      <c r="F11">
        <f>AVERAGE('100 loading'!F11,'100 unloading'!F11)</f>
        <v>730.67362571029332</v>
      </c>
      <c r="G11">
        <f>AVERAGE('100 loading'!G11,'100 unloading'!G11)</f>
        <v>883.35467497512684</v>
      </c>
      <c r="H11">
        <f>AVERAGE('100 loading'!H11,'100 unloading'!H11)</f>
        <v>1021.7821154043388</v>
      </c>
      <c r="I11">
        <f>AVERAGE('100 loading'!I11,'100 unloading'!I11)</f>
        <v>1001.2636353408202</v>
      </c>
      <c r="J11">
        <f>AVERAGE('100 loading'!J11,'100 unloading'!J11)</f>
        <v>700.21924520325888</v>
      </c>
      <c r="K11">
        <f>AVERAGE('100 loading'!K11,'100 unloading'!K11)</f>
        <v>904.49972171572335</v>
      </c>
      <c r="L11">
        <f>AVERAGE('100 loading'!L11,'100 unloading'!L11)</f>
        <v>1127.0680992153796</v>
      </c>
      <c r="M11">
        <f>AVERAGE('100 loading'!M11,'100 unloading'!M11)</f>
        <v>650.79019895648935</v>
      </c>
      <c r="N11">
        <f>AVERAGE('100 loading'!N11,'100 unloading'!N11)</f>
        <v>1168.4125214104797</v>
      </c>
      <c r="O11">
        <f>AVERAGE('100 loading'!O11,'100 unloading'!O11)</f>
        <v>965.61174560134714</v>
      </c>
      <c r="P11">
        <f>AVERAGE('100 loading'!P11,'100 unloading'!P11)</f>
        <v>169.60472123822666</v>
      </c>
      <c r="Q11">
        <f>AVERAGE('100 loading'!Q11,'100 unloading'!Q11)</f>
        <v>570.92709627473005</v>
      </c>
      <c r="R11">
        <f>AVERAGE('100 loading'!R11,'100 unloading'!R11)</f>
        <v>1144.9314094657864</v>
      </c>
      <c r="S11">
        <f>AVERAGE('100 loading'!S11,'100 unloading'!S11)</f>
        <v>947.26247829958629</v>
      </c>
    </row>
    <row r="12" spans="1:19" x14ac:dyDescent="0.25">
      <c r="A12">
        <f>AVERAGE('100 loading'!A12,'100 unloading'!A12)</f>
        <v>100</v>
      </c>
      <c r="B12">
        <f>AVERAGE('100 loading'!B12,'100 unloading'!B12)</f>
        <v>720.69842922324619</v>
      </c>
      <c r="C12">
        <f>AVERAGE('100 loading'!C12,'100 unloading'!C12)</f>
        <v>848.35047932239263</v>
      </c>
      <c r="D12">
        <f>AVERAGE('100 loading'!D12,'100 unloading'!D12)</f>
        <v>1009.3576728334044</v>
      </c>
      <c r="E12">
        <f>AVERAGE('100 loading'!E12,'100 unloading'!E12)</f>
        <v>1173.5757487577634</v>
      </c>
      <c r="F12">
        <f>AVERAGE('100 loading'!F12,'100 unloading'!F12)</f>
        <v>810.81558409725551</v>
      </c>
      <c r="G12">
        <f>AVERAGE('100 loading'!G12,'100 unloading'!G12)</f>
        <v>940.32202712282105</v>
      </c>
      <c r="H12">
        <f>AVERAGE('100 loading'!H12,'100 unloading'!H12)</f>
        <v>1119.3609534599295</v>
      </c>
      <c r="I12">
        <f>AVERAGE('100 loading'!I12,'100 unloading'!I12)</f>
        <v>1102.9744056244426</v>
      </c>
      <c r="J12">
        <f>AVERAGE('100 loading'!J12,'100 unloading'!J12)</f>
        <v>810.5442920411981</v>
      </c>
      <c r="K12">
        <f>AVERAGE('100 loading'!K12,'100 unloading'!K12)</f>
        <v>988.57713882878943</v>
      </c>
      <c r="L12">
        <f>AVERAGE('100 loading'!L12,'100 unloading'!L12)</f>
        <v>1202.5814908257057</v>
      </c>
      <c r="M12">
        <f>AVERAGE('100 loading'!M12,'100 unloading'!M12)</f>
        <v>693.19553454853519</v>
      </c>
      <c r="N12">
        <f>AVERAGE('100 loading'!N12,'100 unloading'!N12)</f>
        <v>1272.1389661569901</v>
      </c>
      <c r="O12">
        <f>AVERAGE('100 loading'!O12,'100 unloading'!O12)</f>
        <v>1088.453467390528</v>
      </c>
      <c r="P12">
        <f>AVERAGE('100 loading'!P12,'100 unloading'!P12)</f>
        <v>212.99840731394889</v>
      </c>
      <c r="Q12">
        <f>AVERAGE('100 loading'!Q12,'100 unloading'!Q12)</f>
        <v>704.43685468444767</v>
      </c>
      <c r="R12">
        <f>AVERAGE('100 loading'!R12,'100 unloading'!R12)</f>
        <v>1221.3889474564025</v>
      </c>
      <c r="S12">
        <f>AVERAGE('100 loading'!S12,'100 unloading'!S12)</f>
        <v>1042.7226858878917</v>
      </c>
    </row>
    <row r="14" spans="1:19" x14ac:dyDescent="0.25">
      <c r="B14">
        <f>SLOPE($A2:$A12,B2:B12)</f>
        <v>0.14012156966153141</v>
      </c>
      <c r="C14">
        <f t="shared" ref="C14:S14" si="0">SLOPE($A2:$A12,C2:C12)</f>
        <v>0.12350840600511595</v>
      </c>
      <c r="D14">
        <f t="shared" si="0"/>
        <v>0.13715239458821396</v>
      </c>
      <c r="E14">
        <f t="shared" si="0"/>
        <v>0.13938665358994856</v>
      </c>
      <c r="F14">
        <f t="shared" si="0"/>
        <v>0.14842228878863223</v>
      </c>
      <c r="G14">
        <f t="shared" si="0"/>
        <v>0.17191046410328423</v>
      </c>
      <c r="H14">
        <f t="shared" si="0"/>
        <v>0.15410580225789328</v>
      </c>
      <c r="I14">
        <f t="shared" si="0"/>
        <v>0.13714258381168554</v>
      </c>
      <c r="J14">
        <f t="shared" si="0"/>
        <v>0.13491831871274845</v>
      </c>
      <c r="K14">
        <f t="shared" si="0"/>
        <v>0.13551430040050491</v>
      </c>
      <c r="L14">
        <f t="shared" si="0"/>
        <v>0.16532815001055565</v>
      </c>
      <c r="M14">
        <f t="shared" si="0"/>
        <v>0.24482237810397614</v>
      </c>
      <c r="N14">
        <f t="shared" si="0"/>
        <v>0.11597435150453422</v>
      </c>
      <c r="O14">
        <f t="shared" si="0"/>
        <v>0.10292288441058733</v>
      </c>
      <c r="P14">
        <f t="shared" si="0"/>
        <v>0.43475673431113315</v>
      </c>
      <c r="Q14">
        <f t="shared" si="0"/>
        <v>0.14234988605729365</v>
      </c>
      <c r="R14">
        <f t="shared" si="0"/>
        <v>0.15731573467917145</v>
      </c>
      <c r="S14">
        <f t="shared" si="0"/>
        <v>0.11782053128571436</v>
      </c>
    </row>
    <row r="15" spans="1:19" x14ac:dyDescent="0.25">
      <c r="B15">
        <f>INTERCEPT($A2:$A12,B2:B12)</f>
        <v>-6.6199260219639697</v>
      </c>
      <c r="C15">
        <f>INTERCEPT($A2:$A12,C2:C12)</f>
        <v>-11.67369032421513</v>
      </c>
      <c r="D15">
        <f t="shared" ref="D15:S15" si="1">INTERCEPT($A2:$A12,D2:D12)</f>
        <v>-47.375183981725421</v>
      </c>
      <c r="E15">
        <f t="shared" si="1"/>
        <v>-74.327709191542056</v>
      </c>
      <c r="F15">
        <f t="shared" si="1"/>
        <v>-30.177762954726134</v>
      </c>
      <c r="G15">
        <f t="shared" si="1"/>
        <v>-74.121049019716395</v>
      </c>
      <c r="H15">
        <f t="shared" si="1"/>
        <v>-77.31837370780778</v>
      </c>
      <c r="I15">
        <f t="shared" si="1"/>
        <v>-57.679792399466912</v>
      </c>
      <c r="J15">
        <f t="shared" si="1"/>
        <v>-15.17030338064874</v>
      </c>
      <c r="K15">
        <f t="shared" si="1"/>
        <v>-44.833031591591229</v>
      </c>
      <c r="L15">
        <f t="shared" si="1"/>
        <v>-109.00346131368013</v>
      </c>
      <c r="M15">
        <f t="shared" si="1"/>
        <v>-82.951365217155256</v>
      </c>
      <c r="N15">
        <f t="shared" si="1"/>
        <v>-54.746187106345751</v>
      </c>
      <c r="O15">
        <f t="shared" si="1"/>
        <v>-20.824873714979809</v>
      </c>
      <c r="P15">
        <f t="shared" si="1"/>
        <v>9.1715488304133288</v>
      </c>
      <c r="Q15">
        <f t="shared" si="1"/>
        <v>9.0974728672485128E-2</v>
      </c>
      <c r="R15">
        <f t="shared" si="1"/>
        <v>-101.98813934184588</v>
      </c>
      <c r="S15">
        <f t="shared" si="1"/>
        <v>-32.606521946150572</v>
      </c>
    </row>
    <row r="16" spans="1:19" x14ac:dyDescent="0.25">
      <c r="B16">
        <f>MAX(B30:B40)/MAX($A:$A)</f>
        <v>5.634530866602603E-2</v>
      </c>
      <c r="C16">
        <f t="shared" ref="C16:S16" si="2">MAX(C30:C40)/MAX($A:$A)</f>
        <v>6.8952748894303403E-2</v>
      </c>
      <c r="D16">
        <f t="shared" si="2"/>
        <v>8.9393621566369749E-2</v>
      </c>
      <c r="E16">
        <f t="shared" si="2"/>
        <v>0.10746912837879165</v>
      </c>
      <c r="F16">
        <f t="shared" si="2"/>
        <v>9.8346581775197561E-2</v>
      </c>
      <c r="G16">
        <f t="shared" si="2"/>
        <v>0.12469852930491214</v>
      </c>
      <c r="H16">
        <f t="shared" si="2"/>
        <v>4.8183559587050125E-2</v>
      </c>
      <c r="I16">
        <f t="shared" si="2"/>
        <v>6.415032533972749E-2</v>
      </c>
      <c r="J16">
        <f t="shared" si="2"/>
        <v>5.8130302562353221E-2</v>
      </c>
      <c r="K16">
        <f t="shared" si="2"/>
        <v>0.1086669223127501</v>
      </c>
      <c r="L16">
        <f t="shared" si="2"/>
        <v>0.10182888198530207</v>
      </c>
      <c r="M16">
        <f t="shared" si="2"/>
        <v>0.13241585957925905</v>
      </c>
      <c r="N16">
        <f t="shared" si="2"/>
        <v>7.2106954826402045E-2</v>
      </c>
      <c r="O16">
        <f t="shared" si="2"/>
        <v>8.7981033044414972E-2</v>
      </c>
      <c r="P16">
        <f t="shared" si="2"/>
        <v>0.10465045171824196</v>
      </c>
      <c r="Q16">
        <f t="shared" si="2"/>
        <v>3.6660882767564448E-2</v>
      </c>
      <c r="R16">
        <f t="shared" si="2"/>
        <v>9.8444397437219777E-2</v>
      </c>
      <c r="S16">
        <f t="shared" si="2"/>
        <v>9.7523811111721273E-2</v>
      </c>
    </row>
    <row r="18" spans="1:19" x14ac:dyDescent="0.25">
      <c r="A18">
        <v>0</v>
      </c>
      <c r="B18">
        <f t="shared" ref="B18:S18" si="3">B2*B$14+B$15</f>
        <v>-2.0477205376176428</v>
      </c>
      <c r="C18">
        <f t="shared" si="3"/>
        <v>-3.37815088168594</v>
      </c>
      <c r="D18">
        <f t="shared" si="3"/>
        <v>-5.8546029148384662</v>
      </c>
      <c r="E18">
        <f t="shared" si="3"/>
        <v>-7.6899069452240525</v>
      </c>
      <c r="F18">
        <f t="shared" si="3"/>
        <v>-6.2324451842953508</v>
      </c>
      <c r="G18">
        <f t="shared" si="3"/>
        <v>-8.6057950176820981</v>
      </c>
      <c r="H18">
        <f t="shared" si="3"/>
        <v>-1.7134697813587394</v>
      </c>
      <c r="I18">
        <f t="shared" si="3"/>
        <v>-4.8484613110532422</v>
      </c>
      <c r="J18">
        <f t="shared" si="3"/>
        <v>-2.0681085851108261</v>
      </c>
      <c r="K18">
        <f t="shared" si="3"/>
        <v>-8.4155105402234369</v>
      </c>
      <c r="L18">
        <f t="shared" si="3"/>
        <v>-8.8057406218395187</v>
      </c>
      <c r="M18">
        <f t="shared" si="3"/>
        <v>-9.3327316418002511</v>
      </c>
      <c r="N18">
        <f t="shared" si="3"/>
        <v>3.4120361428926671</v>
      </c>
      <c r="O18">
        <f t="shared" si="3"/>
        <v>-5.7886403039378962</v>
      </c>
      <c r="P18">
        <f t="shared" si="3"/>
        <v>10.465045171824196</v>
      </c>
      <c r="Q18">
        <f t="shared" si="3"/>
        <v>3.6660882767564447</v>
      </c>
      <c r="R18">
        <f t="shared" si="3"/>
        <v>-7.2313702807194886</v>
      </c>
      <c r="S18">
        <f t="shared" si="3"/>
        <v>-7.6940896093157995</v>
      </c>
    </row>
    <row r="19" spans="1:19" x14ac:dyDescent="0.25">
      <c r="A19">
        <v>4</v>
      </c>
      <c r="B19">
        <f t="shared" ref="B19:S19" si="4">B3*B$14+B$15</f>
        <v>0.92111723821910285</v>
      </c>
      <c r="C19">
        <f t="shared" si="4"/>
        <v>1.0977031394091341</v>
      </c>
      <c r="D19">
        <f t="shared" si="4"/>
        <v>0.42835882884040899</v>
      </c>
      <c r="E19">
        <f t="shared" si="4"/>
        <v>8.0001095374910847E-3</v>
      </c>
      <c r="F19">
        <f t="shared" si="4"/>
        <v>-0.74173197442838301</v>
      </c>
      <c r="G19">
        <f t="shared" si="4"/>
        <v>-0.5465937106774561</v>
      </c>
      <c r="H19">
        <f t="shared" si="4"/>
        <v>1.8018883244205171</v>
      </c>
      <c r="I19">
        <f t="shared" si="4"/>
        <v>0.73953401492052251</v>
      </c>
      <c r="J19">
        <f t="shared" si="4"/>
        <v>2.0375880294638264</v>
      </c>
      <c r="K19">
        <f t="shared" si="4"/>
        <v>-1.1074349261256557</v>
      </c>
      <c r="L19">
        <f t="shared" si="4"/>
        <v>-1.0438360551052881</v>
      </c>
      <c r="M19">
        <f t="shared" si="4"/>
        <v>-1.2669972349571736</v>
      </c>
      <c r="N19">
        <f t="shared" si="4"/>
        <v>4.9482649942046919</v>
      </c>
      <c r="O19">
        <f t="shared" si="4"/>
        <v>-0.30349077962058146</v>
      </c>
      <c r="P19">
        <f t="shared" si="4"/>
        <v>10.541992989438125</v>
      </c>
      <c r="Q19">
        <f t="shared" si="4"/>
        <v>5.0266315412121862</v>
      </c>
      <c r="R19">
        <f t="shared" si="4"/>
        <v>7.0360308025939844E-2</v>
      </c>
      <c r="S19">
        <f t="shared" si="4"/>
        <v>-9.8742385466266569E-2</v>
      </c>
    </row>
    <row r="20" spans="1:19" x14ac:dyDescent="0.25">
      <c r="A20">
        <v>8</v>
      </c>
      <c r="B20">
        <f t="shared" ref="B20:S20" si="5">B4*B$14+B$15</f>
        <v>5.905503587650724</v>
      </c>
      <c r="C20">
        <f t="shared" si="5"/>
        <v>5.2264179178150414</v>
      </c>
      <c r="D20">
        <f t="shared" si="5"/>
        <v>6.0352218346605326</v>
      </c>
      <c r="E20">
        <f t="shared" si="5"/>
        <v>6.1383213666174044</v>
      </c>
      <c r="F20">
        <f t="shared" si="5"/>
        <v>5.4754857761319755</v>
      </c>
      <c r="G20">
        <f t="shared" si="5"/>
        <v>5.9133512724439186</v>
      </c>
      <c r="H20">
        <f t="shared" si="5"/>
        <v>5.6349455996215738</v>
      </c>
      <c r="I20">
        <f t="shared" si="5"/>
        <v>6.1766176912008746</v>
      </c>
      <c r="J20">
        <f t="shared" si="5"/>
        <v>6.3239476628198901</v>
      </c>
      <c r="K20">
        <f t="shared" si="5"/>
        <v>5.7349372865271633</v>
      </c>
      <c r="L20">
        <f t="shared" si="5"/>
        <v>5.8557274704030249</v>
      </c>
      <c r="M20">
        <f t="shared" si="5"/>
        <v>5.8093311646295547</v>
      </c>
      <c r="N20">
        <f t="shared" si="5"/>
        <v>6.4836635370315605</v>
      </c>
      <c r="O20">
        <f t="shared" si="5"/>
        <v>5.3559398770673496</v>
      </c>
      <c r="P20">
        <f t="shared" si="5"/>
        <v>10.507412616822796</v>
      </c>
      <c r="Q20">
        <f t="shared" si="5"/>
        <v>7.9057270321566389</v>
      </c>
      <c r="R20">
        <f t="shared" si="5"/>
        <v>5.8149568710979338</v>
      </c>
      <c r="S20">
        <f t="shared" si="5"/>
        <v>6.2809388090531044</v>
      </c>
    </row>
    <row r="21" spans="1:19" x14ac:dyDescent="0.25">
      <c r="A21">
        <v>12</v>
      </c>
      <c r="B21">
        <f t="shared" ref="B21:S21" si="6">B5*B$14+B$15</f>
        <v>11.198609546642064</v>
      </c>
      <c r="C21">
        <f t="shared" si="6"/>
        <v>11.626440526336829</v>
      </c>
      <c r="D21">
        <f t="shared" si="6"/>
        <v>11.982545933918409</v>
      </c>
      <c r="E21">
        <f t="shared" si="6"/>
        <v>12.521934983837923</v>
      </c>
      <c r="F21">
        <f t="shared" si="6"/>
        <v>12.162323193219216</v>
      </c>
      <c r="G21">
        <f t="shared" si="6"/>
        <v>13.048554159383912</v>
      </c>
      <c r="H21">
        <f t="shared" si="6"/>
        <v>11.485309344568748</v>
      </c>
      <c r="I21">
        <f t="shared" si="6"/>
        <v>12.402957196482866</v>
      </c>
      <c r="J21">
        <f t="shared" si="6"/>
        <v>11.122415382453458</v>
      </c>
      <c r="K21">
        <f t="shared" si="6"/>
        <v>13.41292274759742</v>
      </c>
      <c r="L21">
        <f t="shared" si="6"/>
        <v>13.48768388177966</v>
      </c>
      <c r="M21">
        <f t="shared" si="6"/>
        <v>13.488956347696544</v>
      </c>
      <c r="N21">
        <f t="shared" si="6"/>
        <v>9.1285613057532728</v>
      </c>
      <c r="O21">
        <f t="shared" si="6"/>
        <v>12.683726835723583</v>
      </c>
      <c r="P21">
        <f t="shared" si="6"/>
        <v>11.768060394583957</v>
      </c>
      <c r="Q21">
        <f t="shared" si="6"/>
        <v>11.606531433967705</v>
      </c>
      <c r="R21">
        <f t="shared" si="6"/>
        <v>12.411075784797561</v>
      </c>
      <c r="S21">
        <f t="shared" si="6"/>
        <v>13.118981514836641</v>
      </c>
    </row>
    <row r="22" spans="1:19" x14ac:dyDescent="0.25">
      <c r="A22">
        <v>16</v>
      </c>
      <c r="B22">
        <f t="shared" ref="B22:S22" si="7">B6*B$14+B$15</f>
        <v>17.089651087508162</v>
      </c>
      <c r="C22">
        <f t="shared" si="7"/>
        <v>17.541461545248303</v>
      </c>
      <c r="D22">
        <f t="shared" si="7"/>
        <v>17.822300900238197</v>
      </c>
      <c r="E22">
        <f t="shared" si="7"/>
        <v>18.765190041781366</v>
      </c>
      <c r="F22">
        <f t="shared" si="7"/>
        <v>18.756977377537751</v>
      </c>
      <c r="G22">
        <f t="shared" si="7"/>
        <v>19.510247399030504</v>
      </c>
      <c r="H22">
        <f t="shared" si="7"/>
        <v>17.125622894227178</v>
      </c>
      <c r="I22">
        <f t="shared" si="7"/>
        <v>18.029697860174757</v>
      </c>
      <c r="J22">
        <f t="shared" si="7"/>
        <v>15.609476474640267</v>
      </c>
      <c r="K22">
        <f t="shared" si="7"/>
        <v>20.043846702365464</v>
      </c>
      <c r="L22">
        <f t="shared" si="7"/>
        <v>20.158795487356059</v>
      </c>
      <c r="M22">
        <f t="shared" si="7"/>
        <v>19.999786060891353</v>
      </c>
      <c r="N22">
        <f t="shared" si="7"/>
        <v>12.720682706720574</v>
      </c>
      <c r="O22">
        <f t="shared" si="7"/>
        <v>18.724227079794872</v>
      </c>
      <c r="P22">
        <f t="shared" si="7"/>
        <v>14.08478612538144</v>
      </c>
      <c r="Q22">
        <f t="shared" si="7"/>
        <v>15.400142496227028</v>
      </c>
      <c r="R22">
        <f t="shared" si="7"/>
        <v>18.644317926020292</v>
      </c>
      <c r="S22">
        <f t="shared" si="7"/>
        <v>18.849058400761677</v>
      </c>
    </row>
    <row r="23" spans="1:19" x14ac:dyDescent="0.25">
      <c r="A23">
        <v>20</v>
      </c>
      <c r="B23">
        <f t="shared" ref="B23:S23" si="8">B7*B$14+B$15</f>
        <v>22.198601775895202</v>
      </c>
      <c r="C23">
        <f t="shared" si="8"/>
        <v>22.775681922605401</v>
      </c>
      <c r="D23">
        <f t="shared" si="8"/>
        <v>23.22026139720203</v>
      </c>
      <c r="E23">
        <f t="shared" si="8"/>
        <v>24.168083526092659</v>
      </c>
      <c r="F23">
        <f t="shared" si="8"/>
        <v>24.476157768010708</v>
      </c>
      <c r="G23">
        <f t="shared" si="8"/>
        <v>24.658100466123486</v>
      </c>
      <c r="H23">
        <f t="shared" si="8"/>
        <v>21.124751905601713</v>
      </c>
      <c r="I23">
        <f t="shared" si="8"/>
        <v>22.676036288493158</v>
      </c>
      <c r="J23">
        <f t="shared" si="8"/>
        <v>20.739284699557828</v>
      </c>
      <c r="K23">
        <f t="shared" si="8"/>
        <v>25.311736005808008</v>
      </c>
      <c r="L23">
        <f t="shared" si="8"/>
        <v>25.584862431470555</v>
      </c>
      <c r="M23">
        <f t="shared" si="8"/>
        <v>25.610405722898236</v>
      </c>
      <c r="N23">
        <f t="shared" si="8"/>
        <v>16.491584666774408</v>
      </c>
      <c r="O23">
        <f t="shared" si="8"/>
        <v>23.657094562822323</v>
      </c>
      <c r="P23">
        <f t="shared" si="8"/>
        <v>15.750315550547972</v>
      </c>
      <c r="Q23">
        <f t="shared" si="8"/>
        <v>18.69769387267883</v>
      </c>
      <c r="R23">
        <f t="shared" si="8"/>
        <v>24.121324790497695</v>
      </c>
      <c r="S23">
        <f t="shared" si="8"/>
        <v>23.801249237714408</v>
      </c>
    </row>
    <row r="24" spans="1:19" x14ac:dyDescent="0.25">
      <c r="A24">
        <v>30</v>
      </c>
      <c r="B24">
        <f t="shared" ref="B24:S24" si="9">B8*B$14+B$15</f>
        <v>32.729674358574528</v>
      </c>
      <c r="C24">
        <f t="shared" si="9"/>
        <v>34.211538198442106</v>
      </c>
      <c r="D24">
        <f t="shared" si="9"/>
        <v>35.606249837702968</v>
      </c>
      <c r="E24">
        <f t="shared" si="9"/>
        <v>36.483675238477446</v>
      </c>
      <c r="F24">
        <f t="shared" si="9"/>
        <v>37.177505905543498</v>
      </c>
      <c r="G24">
        <f t="shared" si="9"/>
        <v>37.457455401797475</v>
      </c>
      <c r="H24">
        <f t="shared" si="9"/>
        <v>32.607164291661675</v>
      </c>
      <c r="I24">
        <f t="shared" si="9"/>
        <v>34.645537215273272</v>
      </c>
      <c r="J24">
        <f t="shared" si="9"/>
        <v>33.606879565987619</v>
      </c>
      <c r="K24">
        <f t="shared" si="9"/>
        <v>37.273063417760405</v>
      </c>
      <c r="L24">
        <f t="shared" si="9"/>
        <v>37.357362429241419</v>
      </c>
      <c r="M24">
        <f t="shared" si="9"/>
        <v>38.232090630468647</v>
      </c>
      <c r="N24">
        <f t="shared" si="9"/>
        <v>30.827503561479453</v>
      </c>
      <c r="O24">
        <f t="shared" si="9"/>
        <v>35.196786832424969</v>
      </c>
      <c r="P24">
        <f t="shared" si="9"/>
        <v>20.558531771296892</v>
      </c>
      <c r="Q24">
        <f t="shared" si="9"/>
        <v>27.692646986985871</v>
      </c>
      <c r="R24">
        <f t="shared" si="9"/>
        <v>36.692472040771662</v>
      </c>
      <c r="S24">
        <f t="shared" si="9"/>
        <v>36.62084467905941</v>
      </c>
    </row>
    <row r="25" spans="1:19" x14ac:dyDescent="0.25">
      <c r="A25">
        <v>40</v>
      </c>
      <c r="B25">
        <f t="shared" ref="B25:S25" si="10">B9*B$14+B$15</f>
        <v>44.469325023370743</v>
      </c>
      <c r="C25">
        <f t="shared" si="10"/>
        <v>44.221533584190844</v>
      </c>
      <c r="D25">
        <f t="shared" si="10"/>
        <v>46.758262089674623</v>
      </c>
      <c r="E25">
        <f t="shared" si="10"/>
        <v>47.54363924482837</v>
      </c>
      <c r="F25">
        <f t="shared" si="10"/>
        <v>46.123299000490576</v>
      </c>
      <c r="G25">
        <f t="shared" si="10"/>
        <v>48.217447783099431</v>
      </c>
      <c r="H25">
        <f t="shared" si="10"/>
        <v>44.000094730576336</v>
      </c>
      <c r="I25">
        <f t="shared" si="10"/>
        <v>44.341848060169703</v>
      </c>
      <c r="J25">
        <f t="shared" si="10"/>
        <v>44.892713212079762</v>
      </c>
      <c r="K25">
        <f t="shared" si="10"/>
        <v>47.084004606721955</v>
      </c>
      <c r="L25">
        <f t="shared" si="10"/>
        <v>47.517666270116337</v>
      </c>
      <c r="M25">
        <f t="shared" si="10"/>
        <v>49.227528527476466</v>
      </c>
      <c r="N25">
        <f t="shared" si="10"/>
        <v>46.110502268898607</v>
      </c>
      <c r="O25">
        <f t="shared" si="10"/>
        <v>46.981255862498067</v>
      </c>
      <c r="P25">
        <f t="shared" si="10"/>
        <v>33.848328589851505</v>
      </c>
      <c r="Q25">
        <f t="shared" si="10"/>
        <v>38.168911924875346</v>
      </c>
      <c r="R25">
        <f t="shared" si="10"/>
        <v>47.220924438502976</v>
      </c>
      <c r="S25">
        <f t="shared" si="10"/>
        <v>47.061004113661262</v>
      </c>
    </row>
    <row r="26" spans="1:19" x14ac:dyDescent="0.25">
      <c r="A26">
        <v>60</v>
      </c>
      <c r="B26">
        <f t="shared" ref="B26:S26" si="11">B10*B$14+B$15</f>
        <v>63.481086578075526</v>
      </c>
      <c r="C26">
        <f t="shared" si="11"/>
        <v>63.243378357123575</v>
      </c>
      <c r="D26">
        <f t="shared" si="11"/>
        <v>64.2018989951967</v>
      </c>
      <c r="E26">
        <f t="shared" si="11"/>
        <v>64.579233129991252</v>
      </c>
      <c r="F26">
        <f t="shared" si="11"/>
        <v>64.366597384625649</v>
      </c>
      <c r="G26">
        <f t="shared" si="11"/>
        <v>65.080222053908614</v>
      </c>
      <c r="H26">
        <f t="shared" si="11"/>
        <v>62.607869730040846</v>
      </c>
      <c r="I26">
        <f t="shared" si="11"/>
        <v>62.615175890456378</v>
      </c>
      <c r="J26">
        <f t="shared" si="11"/>
        <v>64.246733901858846</v>
      </c>
      <c r="K26">
        <f t="shared" si="11"/>
        <v>63.789511521677262</v>
      </c>
      <c r="L26">
        <f t="shared" si="11"/>
        <v>62.737744439595872</v>
      </c>
      <c r="M26">
        <f t="shared" si="11"/>
        <v>65.096577442490172</v>
      </c>
      <c r="N26">
        <f t="shared" si="11"/>
        <v>66.328198944872526</v>
      </c>
      <c r="O26">
        <f t="shared" si="11"/>
        <v>63.732530974615692</v>
      </c>
      <c r="P26">
        <f t="shared" si="11"/>
        <v>57.793142422859908</v>
      </c>
      <c r="Q26">
        <f t="shared" si="11"/>
        <v>60.105763877176152</v>
      </c>
      <c r="R26">
        <f t="shared" si="11"/>
        <v>63.972791369203577</v>
      </c>
      <c r="S26">
        <f t="shared" si="11"/>
        <v>62.812689836738436</v>
      </c>
    </row>
    <row r="27" spans="1:19" x14ac:dyDescent="0.25">
      <c r="A27">
        <v>80</v>
      </c>
      <c r="B27">
        <f t="shared" ref="B27:S27" si="12">B11*B$14+B$15</f>
        <v>79.688682208284177</v>
      </c>
      <c r="C27">
        <f t="shared" si="12"/>
        <v>80.329270579945003</v>
      </c>
      <c r="D27">
        <f t="shared" si="12"/>
        <v>78.738865254041428</v>
      </c>
      <c r="E27">
        <f t="shared" si="12"/>
        <v>78.228742141939364</v>
      </c>
      <c r="F27">
        <f t="shared" si="12"/>
        <v>78.270488930683996</v>
      </c>
      <c r="G27">
        <f t="shared" si="12"/>
        <v>77.736863123063443</v>
      </c>
      <c r="H27">
        <f t="shared" si="12"/>
        <v>80.144178919345137</v>
      </c>
      <c r="I27">
        <f t="shared" si="12"/>
        <v>79.63608962785446</v>
      </c>
      <c r="J27">
        <f t="shared" si="12"/>
        <v>79.302099912484692</v>
      </c>
      <c r="K27">
        <f t="shared" si="12"/>
        <v>77.73961540916639</v>
      </c>
      <c r="L27">
        <f t="shared" si="12"/>
        <v>77.332622465511946</v>
      </c>
      <c r="M27">
        <f t="shared" si="12"/>
        <v>76.376638938132231</v>
      </c>
      <c r="N27">
        <f t="shared" si="12"/>
        <v>80.759697354012332</v>
      </c>
      <c r="O27">
        <f t="shared" si="12"/>
        <v>78.558672363053091</v>
      </c>
      <c r="P27">
        <f t="shared" si="12"/>
        <v>82.908343559694842</v>
      </c>
      <c r="Q27">
        <f t="shared" si="12"/>
        <v>81.36238183040183</v>
      </c>
      <c r="R27">
        <f t="shared" si="12"/>
        <v>78.127586495523587</v>
      </c>
      <c r="S27">
        <f t="shared" si="12"/>
        <v>79.000446514129152</v>
      </c>
    </row>
    <row r="28" spans="1:19" x14ac:dyDescent="0.25">
      <c r="A28">
        <v>100</v>
      </c>
      <c r="B28">
        <f t="shared" ref="B28:S28" si="13">B12*B$14+B$15</f>
        <v>94.365469133397397</v>
      </c>
      <c r="C28">
        <f t="shared" si="13"/>
        <v>93.10472511056966</v>
      </c>
      <c r="D28">
        <f t="shared" si="13"/>
        <v>91.060637843363025</v>
      </c>
      <c r="E28">
        <f t="shared" si="13"/>
        <v>89.253087162120835</v>
      </c>
      <c r="F28">
        <f t="shared" si="13"/>
        <v>90.165341822480244</v>
      </c>
      <c r="G28">
        <f t="shared" si="13"/>
        <v>87.530147069508786</v>
      </c>
      <c r="H28">
        <f t="shared" si="13"/>
        <v>95.181644041294987</v>
      </c>
      <c r="I28">
        <f t="shared" si="13"/>
        <v>93.584967466027251</v>
      </c>
      <c r="J28">
        <f t="shared" si="13"/>
        <v>94.186969743764678</v>
      </c>
      <c r="K28">
        <f t="shared" si="13"/>
        <v>89.13330776872499</v>
      </c>
      <c r="L28">
        <f t="shared" si="13"/>
        <v>89.817111801469792</v>
      </c>
      <c r="M28">
        <f t="shared" si="13"/>
        <v>86.758414042074094</v>
      </c>
      <c r="N28">
        <f t="shared" si="13"/>
        <v>92.789304517359795</v>
      </c>
      <c r="O28">
        <f t="shared" si="13"/>
        <v>91.201896695558503</v>
      </c>
      <c r="P28">
        <f t="shared" si="13"/>
        <v>101.77404080769833</v>
      </c>
      <c r="Q28">
        <f t="shared" si="13"/>
        <v>100.36748072756194</v>
      </c>
      <c r="R28">
        <f t="shared" si="13"/>
        <v>90.155560256278022</v>
      </c>
      <c r="S28">
        <f t="shared" si="13"/>
        <v>90.247618888827873</v>
      </c>
    </row>
    <row r="30" spans="1:19" x14ac:dyDescent="0.25">
      <c r="A30">
        <v>0</v>
      </c>
      <c r="B30">
        <f>ABS(B18-$A18)</f>
        <v>2.0477205376176428</v>
      </c>
      <c r="C30">
        <f t="shared" ref="C30:S30" si="14">ABS(C18-$A18)</f>
        <v>3.37815088168594</v>
      </c>
      <c r="D30">
        <f t="shared" si="14"/>
        <v>5.8546029148384662</v>
      </c>
      <c r="E30">
        <f t="shared" si="14"/>
        <v>7.6899069452240525</v>
      </c>
      <c r="F30">
        <f t="shared" si="14"/>
        <v>6.2324451842953508</v>
      </c>
      <c r="G30">
        <f t="shared" si="14"/>
        <v>8.6057950176820981</v>
      </c>
      <c r="H30">
        <f t="shared" si="14"/>
        <v>1.7134697813587394</v>
      </c>
      <c r="I30">
        <f t="shared" si="14"/>
        <v>4.8484613110532422</v>
      </c>
      <c r="J30">
        <f t="shared" si="14"/>
        <v>2.0681085851108261</v>
      </c>
      <c r="K30">
        <f t="shared" si="14"/>
        <v>8.4155105402234369</v>
      </c>
      <c r="L30">
        <f t="shared" si="14"/>
        <v>8.8057406218395187</v>
      </c>
      <c r="M30">
        <f t="shared" si="14"/>
        <v>9.3327316418002511</v>
      </c>
      <c r="N30">
        <f t="shared" si="14"/>
        <v>3.4120361428926671</v>
      </c>
      <c r="O30">
        <f t="shared" si="14"/>
        <v>5.7886403039378962</v>
      </c>
      <c r="P30">
        <f t="shared" si="14"/>
        <v>10.465045171824196</v>
      </c>
      <c r="Q30">
        <f t="shared" si="14"/>
        <v>3.6660882767564447</v>
      </c>
      <c r="R30">
        <f t="shared" si="14"/>
        <v>7.2313702807194886</v>
      </c>
      <c r="S30">
        <f t="shared" si="14"/>
        <v>7.6940896093157995</v>
      </c>
    </row>
    <row r="31" spans="1:19" x14ac:dyDescent="0.25">
      <c r="A31">
        <v>4</v>
      </c>
      <c r="B31">
        <f t="shared" ref="B31:S40" si="15">ABS(B19-$A19)</f>
        <v>3.0788827617808971</v>
      </c>
      <c r="C31">
        <f t="shared" si="15"/>
        <v>2.9022968605908659</v>
      </c>
      <c r="D31">
        <f t="shared" si="15"/>
        <v>3.571641171159591</v>
      </c>
      <c r="E31">
        <f t="shared" si="15"/>
        <v>3.9919998904625089</v>
      </c>
      <c r="F31">
        <f t="shared" si="15"/>
        <v>4.741731974428383</v>
      </c>
      <c r="G31">
        <f t="shared" si="15"/>
        <v>4.5465937106774561</v>
      </c>
      <c r="H31">
        <f t="shared" si="15"/>
        <v>2.1981116755794829</v>
      </c>
      <c r="I31">
        <f t="shared" si="15"/>
        <v>3.2604659850794775</v>
      </c>
      <c r="J31">
        <f t="shared" si="15"/>
        <v>1.9624119705361736</v>
      </c>
      <c r="K31">
        <f t="shared" si="15"/>
        <v>5.1074349261256557</v>
      </c>
      <c r="L31">
        <f t="shared" si="15"/>
        <v>5.0438360551052881</v>
      </c>
      <c r="M31">
        <f t="shared" si="15"/>
        <v>5.2669972349571736</v>
      </c>
      <c r="N31">
        <f t="shared" si="15"/>
        <v>0.9482649942046919</v>
      </c>
      <c r="O31">
        <f t="shared" si="15"/>
        <v>4.3034907796205815</v>
      </c>
      <c r="P31">
        <f t="shared" si="15"/>
        <v>6.5419929894381248</v>
      </c>
      <c r="Q31">
        <f t="shared" si="15"/>
        <v>1.0266315412121862</v>
      </c>
      <c r="R31">
        <f t="shared" si="15"/>
        <v>3.9296396919740602</v>
      </c>
      <c r="S31">
        <f t="shared" si="15"/>
        <v>4.0987423854662666</v>
      </c>
    </row>
    <row r="32" spans="1:19" x14ac:dyDescent="0.25">
      <c r="A32">
        <v>8</v>
      </c>
      <c r="B32">
        <f t="shared" si="15"/>
        <v>2.094496412349276</v>
      </c>
      <c r="C32">
        <f t="shared" si="15"/>
        <v>2.7735820821849586</v>
      </c>
      <c r="D32">
        <f t="shared" si="15"/>
        <v>1.9647781653394674</v>
      </c>
      <c r="E32">
        <f t="shared" si="15"/>
        <v>1.8616786333825956</v>
      </c>
      <c r="F32">
        <f t="shared" si="15"/>
        <v>2.5245142238680245</v>
      </c>
      <c r="G32">
        <f t="shared" si="15"/>
        <v>2.0866487275560814</v>
      </c>
      <c r="H32">
        <f t="shared" si="15"/>
        <v>2.3650544003784262</v>
      </c>
      <c r="I32">
        <f t="shared" si="15"/>
        <v>1.8233823087991254</v>
      </c>
      <c r="J32">
        <f t="shared" si="15"/>
        <v>1.6760523371801099</v>
      </c>
      <c r="K32">
        <f t="shared" si="15"/>
        <v>2.2650627134728367</v>
      </c>
      <c r="L32">
        <f t="shared" si="15"/>
        <v>2.1442725295969751</v>
      </c>
      <c r="M32">
        <f t="shared" si="15"/>
        <v>2.1906688353704453</v>
      </c>
      <c r="N32">
        <f t="shared" si="15"/>
        <v>1.5163364629684395</v>
      </c>
      <c r="O32">
        <f t="shared" si="15"/>
        <v>2.6440601229326504</v>
      </c>
      <c r="P32">
        <f t="shared" si="15"/>
        <v>2.5074126168227959</v>
      </c>
      <c r="Q32">
        <f t="shared" si="15"/>
        <v>9.4272967843361144E-2</v>
      </c>
      <c r="R32">
        <f t="shared" si="15"/>
        <v>2.1850431289020662</v>
      </c>
      <c r="S32">
        <f t="shared" si="15"/>
        <v>1.7190611909468956</v>
      </c>
    </row>
    <row r="33" spans="1:19" x14ac:dyDescent="0.25">
      <c r="A33">
        <v>12</v>
      </c>
      <c r="B33">
        <f t="shared" si="15"/>
        <v>0.80139045335793568</v>
      </c>
      <c r="C33">
        <f t="shared" si="15"/>
        <v>0.3735594736631711</v>
      </c>
      <c r="D33">
        <f t="shared" si="15"/>
        <v>1.7454066081590724E-2</v>
      </c>
      <c r="E33">
        <f t="shared" si="15"/>
        <v>0.52193498383792303</v>
      </c>
      <c r="F33">
        <f t="shared" si="15"/>
        <v>0.16232319321921551</v>
      </c>
      <c r="G33">
        <f t="shared" si="15"/>
        <v>1.0485541593839116</v>
      </c>
      <c r="H33">
        <f t="shared" si="15"/>
        <v>0.51469065543125225</v>
      </c>
      <c r="I33">
        <f t="shared" si="15"/>
        <v>0.40295719648286621</v>
      </c>
      <c r="J33">
        <f t="shared" si="15"/>
        <v>0.87758461754654249</v>
      </c>
      <c r="K33">
        <f t="shared" si="15"/>
        <v>1.4129227475974204</v>
      </c>
      <c r="L33">
        <f t="shared" si="15"/>
        <v>1.4876838817796596</v>
      </c>
      <c r="M33">
        <f t="shared" si="15"/>
        <v>1.4889563476965435</v>
      </c>
      <c r="N33">
        <f t="shared" si="15"/>
        <v>2.8714386942467272</v>
      </c>
      <c r="O33">
        <f t="shared" si="15"/>
        <v>0.68372683572358284</v>
      </c>
      <c r="P33">
        <f t="shared" si="15"/>
        <v>0.23193960541604319</v>
      </c>
      <c r="Q33">
        <f t="shared" si="15"/>
        <v>0.39346856603229519</v>
      </c>
      <c r="R33">
        <f t="shared" si="15"/>
        <v>0.41107578479756057</v>
      </c>
      <c r="S33">
        <f t="shared" si="15"/>
        <v>1.1189815148366407</v>
      </c>
    </row>
    <row r="34" spans="1:19" x14ac:dyDescent="0.25">
      <c r="A34">
        <v>16</v>
      </c>
      <c r="B34">
        <f t="shared" si="15"/>
        <v>1.0896510875081624</v>
      </c>
      <c r="C34">
        <f t="shared" si="15"/>
        <v>1.5414615452483034</v>
      </c>
      <c r="D34">
        <f t="shared" si="15"/>
        <v>1.8223009002381971</v>
      </c>
      <c r="E34">
        <f t="shared" si="15"/>
        <v>2.7651900417813664</v>
      </c>
      <c r="F34">
        <f t="shared" si="15"/>
        <v>2.7569773775377513</v>
      </c>
      <c r="G34">
        <f t="shared" si="15"/>
        <v>3.5102473990305043</v>
      </c>
      <c r="H34">
        <f t="shared" si="15"/>
        <v>1.1256228942271775</v>
      </c>
      <c r="I34">
        <f t="shared" si="15"/>
        <v>2.0296978601747568</v>
      </c>
      <c r="J34">
        <f t="shared" si="15"/>
        <v>0.39052352535973256</v>
      </c>
      <c r="K34">
        <f t="shared" si="15"/>
        <v>4.0438467023654638</v>
      </c>
      <c r="L34">
        <f t="shared" si="15"/>
        <v>4.1587954873560591</v>
      </c>
      <c r="M34">
        <f t="shared" si="15"/>
        <v>3.9997860608913527</v>
      </c>
      <c r="N34">
        <f t="shared" si="15"/>
        <v>3.2793172932794263</v>
      </c>
      <c r="O34">
        <f t="shared" si="15"/>
        <v>2.724227079794872</v>
      </c>
      <c r="P34">
        <f t="shared" si="15"/>
        <v>1.9152138746185603</v>
      </c>
      <c r="Q34">
        <f t="shared" si="15"/>
        <v>0.59985750377297187</v>
      </c>
      <c r="R34">
        <f t="shared" si="15"/>
        <v>2.6443179260202925</v>
      </c>
      <c r="S34">
        <f t="shared" si="15"/>
        <v>2.8490584007616775</v>
      </c>
    </row>
    <row r="35" spans="1:19" x14ac:dyDescent="0.25">
      <c r="A35">
        <v>20</v>
      </c>
      <c r="B35">
        <f t="shared" si="15"/>
        <v>2.1986017758952023</v>
      </c>
      <c r="C35">
        <f t="shared" si="15"/>
        <v>2.7756819226054006</v>
      </c>
      <c r="D35">
        <f t="shared" si="15"/>
        <v>3.2202613972020302</v>
      </c>
      <c r="E35">
        <f t="shared" si="15"/>
        <v>4.1680835260926585</v>
      </c>
      <c r="F35">
        <f t="shared" si="15"/>
        <v>4.4761577680107081</v>
      </c>
      <c r="G35">
        <f t="shared" si="15"/>
        <v>4.6581004661234857</v>
      </c>
      <c r="H35">
        <f t="shared" si="15"/>
        <v>1.1247519056017126</v>
      </c>
      <c r="I35">
        <f t="shared" si="15"/>
        <v>2.6760362884931581</v>
      </c>
      <c r="J35">
        <f t="shared" si="15"/>
        <v>0.73928469955782816</v>
      </c>
      <c r="K35">
        <f t="shared" si="15"/>
        <v>5.3117360058080081</v>
      </c>
      <c r="L35">
        <f t="shared" si="15"/>
        <v>5.5848624314705546</v>
      </c>
      <c r="M35">
        <f t="shared" si="15"/>
        <v>5.6104057228982356</v>
      </c>
      <c r="N35">
        <f t="shared" si="15"/>
        <v>3.5084153332255923</v>
      </c>
      <c r="O35">
        <f t="shared" si="15"/>
        <v>3.6570945628223228</v>
      </c>
      <c r="P35">
        <f t="shared" si="15"/>
        <v>4.2496844494520278</v>
      </c>
      <c r="Q35">
        <f t="shared" si="15"/>
        <v>1.3023061273211702</v>
      </c>
      <c r="R35">
        <f t="shared" si="15"/>
        <v>4.1213247904976953</v>
      </c>
      <c r="S35">
        <f t="shared" si="15"/>
        <v>3.8012492377144085</v>
      </c>
    </row>
    <row r="36" spans="1:19" x14ac:dyDescent="0.25">
      <c r="A36">
        <v>30</v>
      </c>
      <c r="B36">
        <f t="shared" si="15"/>
        <v>2.7296743585745276</v>
      </c>
      <c r="C36">
        <f t="shared" si="15"/>
        <v>4.2115381984421063</v>
      </c>
      <c r="D36">
        <f t="shared" si="15"/>
        <v>5.6062498377029684</v>
      </c>
      <c r="E36">
        <f t="shared" si="15"/>
        <v>6.4836752384774456</v>
      </c>
      <c r="F36">
        <f t="shared" si="15"/>
        <v>7.177505905543498</v>
      </c>
      <c r="G36">
        <f t="shared" si="15"/>
        <v>7.4574554017974748</v>
      </c>
      <c r="H36">
        <f t="shared" si="15"/>
        <v>2.6071642916616753</v>
      </c>
      <c r="I36">
        <f t="shared" si="15"/>
        <v>4.6455372152732721</v>
      </c>
      <c r="J36">
        <f t="shared" si="15"/>
        <v>3.6068795659876187</v>
      </c>
      <c r="K36">
        <f t="shared" si="15"/>
        <v>7.2730634177604045</v>
      </c>
      <c r="L36">
        <f t="shared" si="15"/>
        <v>7.3573624292414195</v>
      </c>
      <c r="M36">
        <f t="shared" si="15"/>
        <v>8.2320906304686474</v>
      </c>
      <c r="N36">
        <f t="shared" si="15"/>
        <v>0.82750356147945325</v>
      </c>
      <c r="O36">
        <f t="shared" si="15"/>
        <v>5.1967868324249693</v>
      </c>
      <c r="P36">
        <f t="shared" si="15"/>
        <v>9.4414682287031084</v>
      </c>
      <c r="Q36">
        <f t="shared" si="15"/>
        <v>2.3073530130141293</v>
      </c>
      <c r="R36">
        <f t="shared" si="15"/>
        <v>6.692472040771662</v>
      </c>
      <c r="S36">
        <f t="shared" si="15"/>
        <v>6.6208446790594095</v>
      </c>
    </row>
    <row r="37" spans="1:19" x14ac:dyDescent="0.25">
      <c r="A37">
        <v>40</v>
      </c>
      <c r="B37">
        <f t="shared" si="15"/>
        <v>4.4693250233707431</v>
      </c>
      <c r="C37">
        <f t="shared" si="15"/>
        <v>4.2215335841908441</v>
      </c>
      <c r="D37">
        <f t="shared" si="15"/>
        <v>6.7582620896746235</v>
      </c>
      <c r="E37">
        <f t="shared" si="15"/>
        <v>7.5436392448283698</v>
      </c>
      <c r="F37">
        <f t="shared" si="15"/>
        <v>6.1232990004905758</v>
      </c>
      <c r="G37">
        <f t="shared" si="15"/>
        <v>8.2174477830994306</v>
      </c>
      <c r="H37">
        <f t="shared" si="15"/>
        <v>4.0000947305763361</v>
      </c>
      <c r="I37">
        <f t="shared" si="15"/>
        <v>4.3418480601697027</v>
      </c>
      <c r="J37">
        <f t="shared" si="15"/>
        <v>4.8927132120797623</v>
      </c>
      <c r="K37">
        <f t="shared" si="15"/>
        <v>7.0840046067219546</v>
      </c>
      <c r="L37">
        <f t="shared" si="15"/>
        <v>7.5176662701163366</v>
      </c>
      <c r="M37">
        <f t="shared" si="15"/>
        <v>9.2275285274764656</v>
      </c>
      <c r="N37">
        <f t="shared" si="15"/>
        <v>6.1105022688986068</v>
      </c>
      <c r="O37">
        <f t="shared" si="15"/>
        <v>6.9812558624980667</v>
      </c>
      <c r="P37">
        <f t="shared" si="15"/>
        <v>6.1516714101484951</v>
      </c>
      <c r="Q37">
        <f t="shared" si="15"/>
        <v>1.8310880751246543</v>
      </c>
      <c r="R37">
        <f t="shared" si="15"/>
        <v>7.2209244385029763</v>
      </c>
      <c r="S37">
        <f t="shared" si="15"/>
        <v>7.0610041136612622</v>
      </c>
    </row>
    <row r="38" spans="1:19" x14ac:dyDescent="0.25">
      <c r="A38">
        <v>60</v>
      </c>
      <c r="B38">
        <f t="shared" si="15"/>
        <v>3.4810865780755265</v>
      </c>
      <c r="C38">
        <f t="shared" si="15"/>
        <v>3.243378357123575</v>
      </c>
      <c r="D38">
        <f t="shared" si="15"/>
        <v>4.2018989951967001</v>
      </c>
      <c r="E38">
        <f t="shared" si="15"/>
        <v>4.5792331299912519</v>
      </c>
      <c r="F38">
        <f t="shared" si="15"/>
        <v>4.3665973846256492</v>
      </c>
      <c r="G38">
        <f t="shared" si="15"/>
        <v>5.0802220539086136</v>
      </c>
      <c r="H38">
        <f t="shared" si="15"/>
        <v>2.6078697300408464</v>
      </c>
      <c r="I38">
        <f t="shared" si="15"/>
        <v>2.6151758904563778</v>
      </c>
      <c r="J38">
        <f t="shared" si="15"/>
        <v>4.2467339018588461</v>
      </c>
      <c r="K38">
        <f t="shared" si="15"/>
        <v>3.7895115216772624</v>
      </c>
      <c r="L38">
        <f t="shared" si="15"/>
        <v>2.7377444395958719</v>
      </c>
      <c r="M38">
        <f t="shared" si="15"/>
        <v>5.0965774424901724</v>
      </c>
      <c r="N38">
        <f t="shared" si="15"/>
        <v>6.3281989448725255</v>
      </c>
      <c r="O38">
        <f t="shared" si="15"/>
        <v>3.7325309746156918</v>
      </c>
      <c r="P38">
        <f t="shared" si="15"/>
        <v>2.2068575771400916</v>
      </c>
      <c r="Q38">
        <f t="shared" si="15"/>
        <v>0.10576387717615177</v>
      </c>
      <c r="R38">
        <f t="shared" si="15"/>
        <v>3.972791369203577</v>
      </c>
      <c r="S38">
        <f t="shared" si="15"/>
        <v>2.8126898367384356</v>
      </c>
    </row>
    <row r="39" spans="1:19" x14ac:dyDescent="0.25">
      <c r="A39">
        <v>80</v>
      </c>
      <c r="B39">
        <f t="shared" si="15"/>
        <v>0.31131779171582252</v>
      </c>
      <c r="C39">
        <f t="shared" si="15"/>
        <v>0.32927057994500331</v>
      </c>
      <c r="D39">
        <f t="shared" si="15"/>
        <v>1.2611347459585716</v>
      </c>
      <c r="E39">
        <f t="shared" si="15"/>
        <v>1.7712578580606362</v>
      </c>
      <c r="F39">
        <f t="shared" si="15"/>
        <v>1.7295110693160041</v>
      </c>
      <c r="G39">
        <f t="shared" si="15"/>
        <v>2.2631368769365565</v>
      </c>
      <c r="H39">
        <f t="shared" si="15"/>
        <v>0.14417891934513705</v>
      </c>
      <c r="I39">
        <f t="shared" si="15"/>
        <v>0.3639103721455399</v>
      </c>
      <c r="J39">
        <f t="shared" si="15"/>
        <v>0.69790008751530763</v>
      </c>
      <c r="K39">
        <f t="shared" si="15"/>
        <v>2.2603845908336098</v>
      </c>
      <c r="L39">
        <f t="shared" si="15"/>
        <v>2.6673775344880539</v>
      </c>
      <c r="M39">
        <f t="shared" si="15"/>
        <v>3.6233610618677687</v>
      </c>
      <c r="N39">
        <f t="shared" si="15"/>
        <v>0.75969735401233152</v>
      </c>
      <c r="O39">
        <f t="shared" si="15"/>
        <v>1.4413276369469088</v>
      </c>
      <c r="P39">
        <f t="shared" si="15"/>
        <v>2.9083435596948419</v>
      </c>
      <c r="Q39">
        <f t="shared" si="15"/>
        <v>1.36238183040183</v>
      </c>
      <c r="R39">
        <f t="shared" si="15"/>
        <v>1.8724135044764125</v>
      </c>
      <c r="S39">
        <f t="shared" si="15"/>
        <v>0.99955348587084814</v>
      </c>
    </row>
    <row r="40" spans="1:19" x14ac:dyDescent="0.25">
      <c r="A40">
        <v>100</v>
      </c>
      <c r="B40">
        <f t="shared" si="15"/>
        <v>5.6345308666026028</v>
      </c>
      <c r="C40">
        <f t="shared" si="15"/>
        <v>6.8952748894303397</v>
      </c>
      <c r="D40">
        <f t="shared" si="15"/>
        <v>8.9393621566369745</v>
      </c>
      <c r="E40">
        <f t="shared" si="15"/>
        <v>10.746912837879165</v>
      </c>
      <c r="F40">
        <f t="shared" si="15"/>
        <v>9.8346581775197564</v>
      </c>
      <c r="G40">
        <f t="shared" si="15"/>
        <v>12.469852930491214</v>
      </c>
      <c r="H40">
        <f t="shared" si="15"/>
        <v>4.8183559587050127</v>
      </c>
      <c r="I40">
        <f t="shared" si="15"/>
        <v>6.4150325339727488</v>
      </c>
      <c r="J40">
        <f t="shared" si="15"/>
        <v>5.8130302562353222</v>
      </c>
      <c r="K40">
        <f t="shared" si="15"/>
        <v>10.86669223127501</v>
      </c>
      <c r="L40">
        <f t="shared" si="15"/>
        <v>10.182888198530208</v>
      </c>
      <c r="M40">
        <f t="shared" si="15"/>
        <v>13.241585957925906</v>
      </c>
      <c r="N40">
        <f t="shared" si="15"/>
        <v>7.2106954826402045</v>
      </c>
      <c r="O40">
        <f t="shared" si="15"/>
        <v>8.7981033044414971</v>
      </c>
      <c r="P40">
        <f t="shared" si="15"/>
        <v>1.7740408076983272</v>
      </c>
      <c r="Q40">
        <f t="shared" si="15"/>
        <v>0.36748072756194006</v>
      </c>
      <c r="R40">
        <f t="shared" si="15"/>
        <v>9.8444397437219777</v>
      </c>
      <c r="S40">
        <f t="shared" si="15"/>
        <v>9.7523811111721272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CCD2-ED59-4BEB-8BCB-C70113F6A9ED}">
  <dimension ref="A1:S34"/>
  <sheetViews>
    <sheetView workbookViewId="0">
      <selection activeCell="B14" sqref="B14:S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0</v>
      </c>
      <c r="B2" s="1">
        <v>60.585296779157822</v>
      </c>
      <c r="C2" s="1">
        <v>87.296597115061545</v>
      </c>
      <c r="D2" s="1">
        <v>320.66872007634475</v>
      </c>
      <c r="E2" s="1">
        <v>469.63923159823258</v>
      </c>
      <c r="F2" s="1">
        <v>192.23792795747002</v>
      </c>
      <c r="G2" s="1">
        <v>391.91630948828998</v>
      </c>
      <c r="H2" s="1">
        <v>493.75645914683287</v>
      </c>
      <c r="I2" s="1">
        <v>387.57295134252809</v>
      </c>
      <c r="J2" s="1">
        <v>118.16404248879267</v>
      </c>
      <c r="K2" s="1">
        <v>276.16097769190714</v>
      </c>
      <c r="L2" s="1">
        <v>608.1533792743345</v>
      </c>
      <c r="M2" s="1">
        <v>301.55396445885782</v>
      </c>
      <c r="N2" s="1">
        <v>509.55069663119184</v>
      </c>
      <c r="O2" s="1">
        <v>174.74026627785744</v>
      </c>
      <c r="P2" s="1">
        <v>2.9914351123041909</v>
      </c>
      <c r="Q2" s="1">
        <v>25.083768948587927</v>
      </c>
      <c r="R2" s="1">
        <v>601.88498054758259</v>
      </c>
      <c r="S2" s="1">
        <v>225.7787739754892</v>
      </c>
    </row>
    <row r="3" spans="1:19" x14ac:dyDescent="0.25">
      <c r="A3" s="1">
        <v>4</v>
      </c>
      <c r="B3" s="1">
        <v>83.503874100967565</v>
      </c>
      <c r="C3" s="1">
        <v>112.35722533786186</v>
      </c>
      <c r="D3" s="1">
        <v>351.0353280982365</v>
      </c>
      <c r="E3" s="1">
        <v>495.2670277896213</v>
      </c>
      <c r="F3" s="1">
        <v>213.36663153959384</v>
      </c>
      <c r="G3" s="1">
        <v>418.06474336861243</v>
      </c>
      <c r="H3" s="1">
        <v>511.35092905175702</v>
      </c>
      <c r="I3" s="1">
        <v>417.00760057959326</v>
      </c>
      <c r="J3" s="1">
        <v>146.56707545424268</v>
      </c>
      <c r="K3" s="1">
        <v>312.23851618869253</v>
      </c>
      <c r="L3" s="1">
        <v>635.43286435816992</v>
      </c>
      <c r="M3" s="1">
        <v>318.92616296706041</v>
      </c>
      <c r="N3" s="1">
        <v>522.64282185126069</v>
      </c>
      <c r="O3" s="1">
        <v>219.28050344796026</v>
      </c>
      <c r="P3" s="1">
        <v>2.9925126188178921</v>
      </c>
      <c r="Q3" s="1">
        <v>37.32905158631899</v>
      </c>
      <c r="R3" s="1">
        <v>627.52842633091132</v>
      </c>
      <c r="S3" s="1">
        <v>264.4867380029367</v>
      </c>
    </row>
    <row r="4" spans="1:19" x14ac:dyDescent="0.25">
      <c r="A4" s="1">
        <v>8</v>
      </c>
      <c r="B4" s="1">
        <v>106.53643178585985</v>
      </c>
      <c r="C4" s="1">
        <v>143.79346941830667</v>
      </c>
      <c r="D4" s="1">
        <v>381.29268109381707</v>
      </c>
      <c r="E4" s="1">
        <v>524.48574759669521</v>
      </c>
      <c r="F4" s="1">
        <v>240.34900832684198</v>
      </c>
      <c r="G4" s="1">
        <v>444.75569931588626</v>
      </c>
      <c r="H4" s="1">
        <v>529.26496084979431</v>
      </c>
      <c r="I4" s="1">
        <v>442.33483649051698</v>
      </c>
      <c r="J4" s="1">
        <v>172.77907443168095</v>
      </c>
      <c r="K4" s="1">
        <v>347.1849348839018</v>
      </c>
      <c r="L4" s="1">
        <v>664.52966501927949</v>
      </c>
      <c r="M4" s="1">
        <v>338.34643314589005</v>
      </c>
      <c r="N4" s="1">
        <v>531.25741415403184</v>
      </c>
      <c r="O4" s="1">
        <v>257.78405551007074</v>
      </c>
      <c r="P4" s="1">
        <v>3.0387506416897776</v>
      </c>
      <c r="Q4" s="1">
        <v>53.790575452604145</v>
      </c>
      <c r="R4" s="1">
        <v>655.13439261668498</v>
      </c>
      <c r="S4" s="1">
        <v>302.64848644617001</v>
      </c>
    </row>
    <row r="5" spans="1:19" x14ac:dyDescent="0.25">
      <c r="A5" s="1">
        <v>12</v>
      </c>
      <c r="B5" s="1">
        <v>131.87672965427836</v>
      </c>
      <c r="C5" s="1">
        <v>179.87211076678526</v>
      </c>
      <c r="D5" s="1">
        <v>411.29504307464202</v>
      </c>
      <c r="E5" s="1">
        <v>559.94276351241092</v>
      </c>
      <c r="F5" s="1">
        <v>267.60644842499124</v>
      </c>
      <c r="G5" s="1">
        <v>473.38332434480469</v>
      </c>
      <c r="H5" s="1">
        <v>558.91661799770702</v>
      </c>
      <c r="I5" s="1">
        <v>478.06475231749351</v>
      </c>
      <c r="J5" s="1">
        <v>196.28422178107257</v>
      </c>
      <c r="K5" s="1">
        <v>384.63765081451379</v>
      </c>
      <c r="L5" s="1">
        <v>694.66886867445191</v>
      </c>
      <c r="M5" s="1">
        <v>360.18415744478438</v>
      </c>
      <c r="N5" s="1">
        <v>546.16035350263405</v>
      </c>
      <c r="O5" s="1">
        <v>300.44701232504889</v>
      </c>
      <c r="P5" s="1">
        <v>3.9049976861750979</v>
      </c>
      <c r="Q5" s="1">
        <v>72.979323456455774</v>
      </c>
      <c r="R5" s="1">
        <v>684.30837090927855</v>
      </c>
      <c r="S5" s="1">
        <v>342.55736333105972</v>
      </c>
    </row>
    <row r="6" spans="1:19" x14ac:dyDescent="0.25">
      <c r="A6" s="1">
        <v>16</v>
      </c>
      <c r="B6" s="1">
        <v>161.16332448850397</v>
      </c>
      <c r="C6" s="1">
        <v>216.76041730927858</v>
      </c>
      <c r="D6" s="1">
        <v>450.43844108711698</v>
      </c>
      <c r="E6" s="1">
        <v>599.70436919307258</v>
      </c>
      <c r="F6" s="1">
        <v>300.41094798792761</v>
      </c>
      <c r="G6" s="1">
        <v>501.62406297767797</v>
      </c>
      <c r="H6" s="1">
        <v>588.54592674891376</v>
      </c>
      <c r="I6" s="1">
        <v>510.06220253283612</v>
      </c>
      <c r="J6" s="1">
        <v>220.357746008155</v>
      </c>
      <c r="K6" s="1">
        <v>427.19439132462276</v>
      </c>
      <c r="L6" s="1">
        <v>731.20311955790953</v>
      </c>
      <c r="M6" s="1">
        <v>384.71875959409641</v>
      </c>
      <c r="N6" s="1">
        <v>573.98112735926168</v>
      </c>
      <c r="O6" s="1">
        <v>349.46784640308738</v>
      </c>
      <c r="P6" s="1">
        <v>9.9247313291280292</v>
      </c>
      <c r="Q6" s="1">
        <v>98.843363627499144</v>
      </c>
      <c r="R6" s="1">
        <v>715.92455118243424</v>
      </c>
      <c r="S6" s="1">
        <v>382.46693388790897</v>
      </c>
    </row>
    <row r="7" spans="1:19" x14ac:dyDescent="0.25">
      <c r="A7" s="1">
        <v>20</v>
      </c>
      <c r="B7" s="1">
        <v>190.16184496597512</v>
      </c>
      <c r="C7" s="1">
        <v>253.32872628392877</v>
      </c>
      <c r="D7" s="1">
        <v>487.9188081884343</v>
      </c>
      <c r="E7" s="1">
        <v>637.75469738100378</v>
      </c>
      <c r="F7" s="1">
        <v>328.73951083702542</v>
      </c>
      <c r="G7" s="1">
        <v>533.54466940234272</v>
      </c>
      <c r="H7" s="1">
        <v>614.64384823730245</v>
      </c>
      <c r="I7" s="1">
        <v>540.07456402516209</v>
      </c>
      <c r="J7" s="1">
        <v>249.02205544110484</v>
      </c>
      <c r="K7" s="1">
        <v>461.07399635854733</v>
      </c>
      <c r="L7" s="1">
        <v>761.374865966112</v>
      </c>
      <c r="M7" s="1">
        <v>404.32022355958674</v>
      </c>
      <c r="N7" s="1">
        <v>598.65549166770813</v>
      </c>
      <c r="O7" s="1">
        <v>394.57527925156751</v>
      </c>
      <c r="P7" s="1">
        <v>14.677309269193421</v>
      </c>
      <c r="Q7" s="1">
        <v>118.78864188758594</v>
      </c>
      <c r="R7" s="1">
        <v>748.84001189915477</v>
      </c>
      <c r="S7" s="1">
        <v>416.04256779894018</v>
      </c>
    </row>
    <row r="8" spans="1:19" x14ac:dyDescent="0.25">
      <c r="A8" s="1">
        <v>30</v>
      </c>
      <c r="B8" s="1">
        <v>251.93636045892239</v>
      </c>
      <c r="C8" s="1">
        <v>338.63286592956803</v>
      </c>
      <c r="D8" s="1">
        <v>564.85854062882981</v>
      </c>
      <c r="E8" s="1">
        <v>721.05534917034561</v>
      </c>
      <c r="F8" s="1">
        <v>407.77049566396323</v>
      </c>
      <c r="G8" s="1">
        <v>607.43003655821019</v>
      </c>
      <c r="H8" s="1">
        <v>671.97013781976102</v>
      </c>
      <c r="I8" s="1">
        <v>620.71385122030472</v>
      </c>
      <c r="J8" s="1">
        <v>330.62024450458756</v>
      </c>
      <c r="K8" s="1">
        <v>551.86534864486566</v>
      </c>
      <c r="L8" s="1">
        <v>839.64467059294475</v>
      </c>
      <c r="M8" s="1">
        <v>458.90190180330637</v>
      </c>
      <c r="N8" s="1">
        <v>691.00420026284587</v>
      </c>
      <c r="O8" s="1">
        <v>497.29030324329881</v>
      </c>
      <c r="P8" s="1">
        <v>24.863587512559622</v>
      </c>
      <c r="Q8" s="1">
        <v>170.27481364831431</v>
      </c>
      <c r="R8" s="1">
        <v>833.91650039703359</v>
      </c>
      <c r="S8" s="1">
        <v>509.16852286787849</v>
      </c>
    </row>
    <row r="9" spans="1:19" x14ac:dyDescent="0.25">
      <c r="A9" s="1">
        <v>40</v>
      </c>
      <c r="B9" s="1">
        <v>321.9859800049083</v>
      </c>
      <c r="C9" s="1">
        <v>410.84631987556492</v>
      </c>
      <c r="D9" s="1">
        <v>634.66105331111305</v>
      </c>
      <c r="E9" s="1">
        <v>799.11787395490626</v>
      </c>
      <c r="F9" s="1">
        <v>469.62266951827831</v>
      </c>
      <c r="G9" s="1">
        <v>661.57955359671325</v>
      </c>
      <c r="H9" s="1">
        <v>745.83182336923392</v>
      </c>
      <c r="I9" s="1">
        <v>694.27404622233644</v>
      </c>
      <c r="J9" s="1">
        <v>407.27209445319392</v>
      </c>
      <c r="K9" s="1">
        <v>619.49016325241951</v>
      </c>
      <c r="L9" s="1">
        <v>899.33341222547267</v>
      </c>
      <c r="M9" s="1">
        <v>506.15514454454615</v>
      </c>
      <c r="N9" s="1">
        <v>802.47469140748922</v>
      </c>
      <c r="O9" s="1">
        <v>585.84761031449193</v>
      </c>
      <c r="P9" s="1">
        <v>52.912316669043861</v>
      </c>
      <c r="Q9" s="1">
        <v>234.23110888702493</v>
      </c>
      <c r="R9" s="1">
        <v>897.52951378264447</v>
      </c>
      <c r="S9" s="1">
        <v>600.15286696279304</v>
      </c>
    </row>
    <row r="10" spans="1:19" x14ac:dyDescent="0.25">
      <c r="A10" s="1">
        <v>60</v>
      </c>
      <c r="B10" s="1">
        <v>454.29966870697785</v>
      </c>
      <c r="C10" s="1">
        <v>556.5125711229706</v>
      </c>
      <c r="D10" s="1">
        <v>774.6076685447307</v>
      </c>
      <c r="E10" s="1">
        <v>947.2756009539188</v>
      </c>
      <c r="F10" s="1">
        <v>580.72622598347277</v>
      </c>
      <c r="G10" s="1">
        <v>773.41280234999329</v>
      </c>
      <c r="H10" s="1">
        <v>865.35052394827039</v>
      </c>
      <c r="I10" s="1">
        <v>828.67375923317024</v>
      </c>
      <c r="J10" s="1">
        <v>544.8572427281448</v>
      </c>
      <c r="K10" s="1">
        <v>753.32076920187694</v>
      </c>
      <c r="L10" s="1">
        <v>1005.0189557665368</v>
      </c>
      <c r="M10" s="1">
        <v>582.26087051411093</v>
      </c>
      <c r="N10" s="1">
        <v>994.27704253607772</v>
      </c>
      <c r="O10" s="1">
        <v>778.46612657760818</v>
      </c>
      <c r="P10" s="1">
        <v>107.1022081884981</v>
      </c>
      <c r="Q10" s="1">
        <v>384.65613897902784</v>
      </c>
      <c r="R10" s="1">
        <v>1021.0568846574098</v>
      </c>
      <c r="S10" s="1">
        <v>746.94819028586096</v>
      </c>
    </row>
    <row r="12" spans="1:19" x14ac:dyDescent="0.25">
      <c r="B12">
        <f t="shared" ref="B12:S12" si="0">SLOPE($A2:$A10,B2:B10)</f>
        <v>0.1510460140852718</v>
      </c>
      <c r="C12">
        <f t="shared" si="0"/>
        <v>0.12482361023649541</v>
      </c>
      <c r="D12">
        <f t="shared" si="0"/>
        <v>0.130106971905977</v>
      </c>
      <c r="E12">
        <f t="shared" si="0"/>
        <v>0.1224410615569362</v>
      </c>
      <c r="F12">
        <f t="shared" si="0"/>
        <v>0.14869971448301583</v>
      </c>
      <c r="G12">
        <f t="shared" si="0"/>
        <v>0.15358545017881806</v>
      </c>
      <c r="H12">
        <f t="shared" si="0"/>
        <v>0.15752579844163908</v>
      </c>
      <c r="I12">
        <f t="shared" si="0"/>
        <v>0.13368574154394838</v>
      </c>
      <c r="J12">
        <f t="shared" si="0"/>
        <v>0.13877476137550351</v>
      </c>
      <c r="K12">
        <f t="shared" si="0"/>
        <v>0.12294857300808888</v>
      </c>
      <c r="L12">
        <f t="shared" si="0"/>
        <v>0.14575071055701389</v>
      </c>
      <c r="M12">
        <f t="shared" si="0"/>
        <v>0.20607934844662767</v>
      </c>
      <c r="N12">
        <f t="shared" si="0"/>
        <v>0.11663770185214996</v>
      </c>
      <c r="O12">
        <f t="shared" si="0"/>
        <v>9.8880580341934157E-2</v>
      </c>
      <c r="P12">
        <f t="shared" si="0"/>
        <v>0.52608020445245984</v>
      </c>
      <c r="Q12">
        <f t="shared" si="0"/>
        <v>0.16559944045160405</v>
      </c>
      <c r="R12">
        <f t="shared" si="0"/>
        <v>0.13880932471190169</v>
      </c>
      <c r="S12">
        <f t="shared" si="0"/>
        <v>0.1133379565107854</v>
      </c>
    </row>
    <row r="13" spans="1:19" x14ac:dyDescent="0.25">
      <c r="B13">
        <f t="shared" ref="B13:S13" si="1">INTERCEPT($A2:$A10,B2:B10)</f>
        <v>-8.4611728054697828</v>
      </c>
      <c r="C13">
        <f t="shared" si="1"/>
        <v>-10.779938579915456</v>
      </c>
      <c r="D13">
        <f t="shared" si="1"/>
        <v>-42.161012114952214</v>
      </c>
      <c r="E13">
        <f t="shared" si="1"/>
        <v>-57.17284220971564</v>
      </c>
      <c r="F13">
        <f t="shared" si="1"/>
        <v>-28.46917159132553</v>
      </c>
      <c r="G13">
        <f t="shared" si="1"/>
        <v>-60.89859092186623</v>
      </c>
      <c r="H13">
        <f t="shared" si="1"/>
        <v>-76.548429341087711</v>
      </c>
      <c r="I13">
        <f t="shared" si="1"/>
        <v>-51.952284423777442</v>
      </c>
      <c r="J13">
        <f t="shared" si="1"/>
        <v>-15.678445069910037</v>
      </c>
      <c r="K13">
        <f t="shared" si="1"/>
        <v>-35.351883746167829</v>
      </c>
      <c r="L13">
        <f t="shared" si="1"/>
        <v>-89.649061201584374</v>
      </c>
      <c r="M13">
        <f t="shared" si="1"/>
        <v>-62.588419672998356</v>
      </c>
      <c r="N13">
        <f t="shared" si="1"/>
        <v>-53.666665278054481</v>
      </c>
      <c r="O13">
        <f t="shared" si="1"/>
        <v>-17.978568694370569</v>
      </c>
      <c r="P13">
        <f t="shared" si="1"/>
        <v>8.1106259235364817</v>
      </c>
      <c r="Q13">
        <f t="shared" si="1"/>
        <v>-0.8947874036784107</v>
      </c>
      <c r="R13">
        <f t="shared" si="1"/>
        <v>-83.553026534916853</v>
      </c>
      <c r="S13">
        <f t="shared" si="1"/>
        <v>-26.619915548564368</v>
      </c>
    </row>
    <row r="14" spans="1:19" x14ac:dyDescent="0.25">
      <c r="B14">
        <f>MAX(B26:B36)/MAX($A:$A)</f>
        <v>1.1499913086587703E-2</v>
      </c>
      <c r="C14">
        <f t="shared" ref="C14:S14" si="2">MAX(C26:C36)/MAX($A:$A)</f>
        <v>2.4823971502405763E-2</v>
      </c>
      <c r="D14">
        <f t="shared" si="2"/>
        <v>2.2985899090809881E-2</v>
      </c>
      <c r="E14">
        <f t="shared" si="2"/>
        <v>1.9790200698885721E-2</v>
      </c>
      <c r="F14">
        <f t="shared" si="2"/>
        <v>3.6103078141727467E-2</v>
      </c>
      <c r="G14">
        <f t="shared" si="2"/>
        <v>3.9897078251039865E-2</v>
      </c>
      <c r="H14">
        <f t="shared" si="2"/>
        <v>2.05158520288947E-2</v>
      </c>
      <c r="I14">
        <f t="shared" si="2"/>
        <v>1.950697371132885E-2</v>
      </c>
      <c r="J14">
        <f t="shared" si="2"/>
        <v>1.8674479147221788E-2</v>
      </c>
      <c r="K14">
        <f t="shared" si="2"/>
        <v>4.5536169257353029E-2</v>
      </c>
      <c r="L14">
        <f t="shared" si="2"/>
        <v>5.2780571255725307E-2</v>
      </c>
      <c r="M14">
        <f t="shared" si="2"/>
        <v>4.3274647524735602E-2</v>
      </c>
      <c r="N14">
        <f t="shared" si="2"/>
        <v>9.6102615902829785E-2</v>
      </c>
      <c r="O14">
        <f t="shared" si="2"/>
        <v>1.9896418145720615E-2</v>
      </c>
      <c r="P14">
        <f t="shared" si="2"/>
        <v>0.16140601198372898</v>
      </c>
      <c r="Q14">
        <f t="shared" si="2"/>
        <v>5.4317844977084501E-2</v>
      </c>
      <c r="R14">
        <f t="shared" si="2"/>
        <v>3.6705995855128036E-2</v>
      </c>
      <c r="S14">
        <f t="shared" si="2"/>
        <v>3.2705567368926582E-2</v>
      </c>
    </row>
    <row r="16" spans="1:19" x14ac:dyDescent="0.25">
      <c r="A16">
        <v>0</v>
      </c>
      <c r="B16">
        <f t="shared" ref="B16:S16" si="3">B2*B$12+B$13</f>
        <v>0.68999478519526214</v>
      </c>
      <c r="C16">
        <f t="shared" si="3"/>
        <v>0.1167378333473561</v>
      </c>
      <c r="D16">
        <f t="shared" si="3"/>
        <v>-0.43977596085362336</v>
      </c>
      <c r="E16">
        <f t="shared" si="3"/>
        <v>0.33028385595576992</v>
      </c>
      <c r="F16">
        <f t="shared" si="3"/>
        <v>0.11655340875682896</v>
      </c>
      <c r="G16">
        <f t="shared" si="3"/>
        <v>-0.70594809668622815</v>
      </c>
      <c r="H16">
        <f t="shared" si="3"/>
        <v>1.2309511217336819</v>
      </c>
      <c r="I16">
        <f t="shared" si="3"/>
        <v>-0.13930702117495031</v>
      </c>
      <c r="J16">
        <f t="shared" si="3"/>
        <v>0.71974172963702543</v>
      </c>
      <c r="K16">
        <f t="shared" si="3"/>
        <v>-1.3982856184291776</v>
      </c>
      <c r="L16">
        <f t="shared" si="3"/>
        <v>-1.0102740447009637</v>
      </c>
      <c r="M16">
        <f t="shared" si="3"/>
        <v>-0.44437515581941511</v>
      </c>
      <c r="N16">
        <f t="shared" si="3"/>
        <v>5.7661569541697872</v>
      </c>
      <c r="O16">
        <f t="shared" si="3"/>
        <v>-0.7001497557119194</v>
      </c>
      <c r="P16">
        <f t="shared" si="3"/>
        <v>9.6843607190237382</v>
      </c>
      <c r="Q16">
        <f t="shared" si="3"/>
        <v>3.2590706986250702</v>
      </c>
      <c r="R16">
        <f t="shared" si="3"/>
        <v>-5.7788308708239811E-3</v>
      </c>
      <c r="S16">
        <f t="shared" si="3"/>
        <v>-1.0306106826719272</v>
      </c>
    </row>
    <row r="17" spans="1:19" x14ac:dyDescent="0.25">
      <c r="A17">
        <v>4</v>
      </c>
      <c r="B17">
        <f t="shared" ref="B17:S17" si="4">B3*B$12+B$13</f>
        <v>4.1517545381597269</v>
      </c>
      <c r="C17">
        <f t="shared" si="4"/>
        <v>3.2448959229118994</v>
      </c>
      <c r="D17">
        <f t="shared" si="4"/>
        <v>3.5111314559304603</v>
      </c>
      <c r="E17">
        <f t="shared" si="4"/>
        <v>3.4681784269942142</v>
      </c>
      <c r="F17">
        <f t="shared" si="4"/>
        <v>3.2583855988149146</v>
      </c>
      <c r="G17">
        <f t="shared" si="4"/>
        <v>3.3100708922941493</v>
      </c>
      <c r="H17">
        <f t="shared" si="4"/>
        <v>4.0025340416642479</v>
      </c>
      <c r="I17">
        <f t="shared" si="4"/>
        <v>3.7956858891681193</v>
      </c>
      <c r="J17">
        <f t="shared" si="4"/>
        <v>4.6613658517579104</v>
      </c>
      <c r="K17">
        <f t="shared" si="4"/>
        <v>3.037396257394974</v>
      </c>
      <c r="L17">
        <f t="shared" si="4"/>
        <v>2.9657302898975217</v>
      </c>
      <c r="M17">
        <f t="shared" si="4"/>
        <v>3.1356761938364457</v>
      </c>
      <c r="N17">
        <f t="shared" si="4"/>
        <v>7.2931923521991919</v>
      </c>
      <c r="O17">
        <f t="shared" si="4"/>
        <v>3.7040147442352342</v>
      </c>
      <c r="P17">
        <f t="shared" si="4"/>
        <v>9.6849275738707643</v>
      </c>
      <c r="Q17">
        <f t="shared" si="4"/>
        <v>5.286882651605076</v>
      </c>
      <c r="R17">
        <f t="shared" si="4"/>
        <v>3.5537705615992934</v>
      </c>
      <c r="S17">
        <f t="shared" si="4"/>
        <v>3.3564708608919638</v>
      </c>
    </row>
    <row r="18" spans="1:19" x14ac:dyDescent="0.25">
      <c r="A18">
        <v>8</v>
      </c>
      <c r="B18">
        <f t="shared" ref="B18:S18" si="5">B4*B$12+B$13</f>
        <v>7.6307305706518029</v>
      </c>
      <c r="C18">
        <f t="shared" si="5"/>
        <v>7.1688814013086777</v>
      </c>
      <c r="D18">
        <f t="shared" si="5"/>
        <v>7.4478240320756939</v>
      </c>
      <c r="E18">
        <f t="shared" si="5"/>
        <v>7.0457494975070176</v>
      </c>
      <c r="F18">
        <f t="shared" si="5"/>
        <v>7.2706573231518696</v>
      </c>
      <c r="G18">
        <f t="shared" si="5"/>
        <v>7.409413377159197</v>
      </c>
      <c r="H18">
        <f t="shared" si="5"/>
        <v>6.824456203958988</v>
      </c>
      <c r="I18">
        <f t="shared" si="5"/>
        <v>7.18157620317848</v>
      </c>
      <c r="J18">
        <f t="shared" si="5"/>
        <v>8.2989297550268475</v>
      </c>
      <c r="K18">
        <f t="shared" si="5"/>
        <v>7.3340085677141573</v>
      </c>
      <c r="L18">
        <f t="shared" si="5"/>
        <v>7.2066096611900292</v>
      </c>
      <c r="M18">
        <f t="shared" si="5"/>
        <v>7.1377928189471334</v>
      </c>
      <c r="N18">
        <f t="shared" si="5"/>
        <v>8.297978600787637</v>
      </c>
      <c r="O18">
        <f t="shared" si="5"/>
        <v>7.511268317362596</v>
      </c>
      <c r="P18">
        <f t="shared" si="5"/>
        <v>9.7092524823966837</v>
      </c>
      <c r="Q18">
        <f t="shared" si="5"/>
        <v>8.0129017928426229</v>
      </c>
      <c r="R18">
        <f t="shared" si="5"/>
        <v>7.3857360997470636</v>
      </c>
      <c r="S18">
        <f t="shared" si="5"/>
        <v>7.681645446326673</v>
      </c>
    </row>
    <row r="19" spans="1:19" x14ac:dyDescent="0.25">
      <c r="A19">
        <v>12</v>
      </c>
      <c r="B19">
        <f t="shared" ref="B19:S19" si="6">B5*B$12+B$13</f>
        <v>11.458281559409929</v>
      </c>
      <c r="C19">
        <f t="shared" si="6"/>
        <v>11.672347666853476</v>
      </c>
      <c r="D19">
        <f t="shared" si="6"/>
        <v>11.351340499427835</v>
      </c>
      <c r="E19">
        <f t="shared" si="6"/>
        <v>11.387144165868435</v>
      </c>
      <c r="F19">
        <f t="shared" si="6"/>
        <v>11.323830883284568</v>
      </c>
      <c r="G19">
        <f t="shared" si="6"/>
        <v>11.806200054776042</v>
      </c>
      <c r="H19">
        <f t="shared" si="6"/>
        <v>11.495357171301677</v>
      </c>
      <c r="I19">
        <f t="shared" si="6"/>
        <v>11.958156495810698</v>
      </c>
      <c r="J19">
        <f t="shared" si="6"/>
        <v>11.560850969534719</v>
      </c>
      <c r="K19">
        <f t="shared" si="6"/>
        <v>11.938766546660219</v>
      </c>
      <c r="L19">
        <f t="shared" si="6"/>
        <v>11.599420009553953</v>
      </c>
      <c r="M19">
        <f t="shared" si="6"/>
        <v>11.638096814020372</v>
      </c>
      <c r="N19">
        <f t="shared" si="6"/>
        <v>10.036223197250578</v>
      </c>
      <c r="O19">
        <f t="shared" si="6"/>
        <v>11.729806246330508</v>
      </c>
      <c r="P19">
        <f t="shared" si="6"/>
        <v>10.164967904665859</v>
      </c>
      <c r="Q19">
        <f t="shared" si="6"/>
        <v>11.190547725247287</v>
      </c>
      <c r="R19">
        <f t="shared" si="6"/>
        <v>11.435356325701648</v>
      </c>
      <c r="S19">
        <f t="shared" si="6"/>
        <v>12.204835999100592</v>
      </c>
    </row>
    <row r="20" spans="1:19" x14ac:dyDescent="0.25">
      <c r="A20">
        <v>16</v>
      </c>
      <c r="B20">
        <f t="shared" ref="B20:S20" si="7">B6*B$12+B$13</f>
        <v>15.881904975250016</v>
      </c>
      <c r="C20">
        <f t="shared" si="7"/>
        <v>16.276879264998026</v>
      </c>
      <c r="D20">
        <f t="shared" si="7"/>
        <v>16.444169484941391</v>
      </c>
      <c r="E20">
        <f t="shared" si="7"/>
        <v>16.255597374616954</v>
      </c>
      <c r="F20">
        <f t="shared" si="7"/>
        <v>16.201850602051426</v>
      </c>
      <c r="G20">
        <f t="shared" si="7"/>
        <v>16.143566611088218</v>
      </c>
      <c r="H20">
        <f t="shared" si="7"/>
        <v>16.162737689609358</v>
      </c>
      <c r="I20">
        <f t="shared" si="7"/>
        <v>16.235759355364337</v>
      </c>
      <c r="J20">
        <f t="shared" si="7"/>
        <v>14.901648549615487</v>
      </c>
      <c r="K20">
        <f t="shared" si="7"/>
        <v>17.171057064253645</v>
      </c>
      <c r="L20">
        <f t="shared" si="7"/>
        <v>16.924313035486122</v>
      </c>
      <c r="M20">
        <f t="shared" si="7"/>
        <v>16.694171639347829</v>
      </c>
      <c r="N20">
        <f t="shared" si="7"/>
        <v>13.281174323635994</v>
      </c>
      <c r="O20">
        <f t="shared" si="7"/>
        <v>16.577014768812621</v>
      </c>
      <c r="P20">
        <f t="shared" si="7"/>
        <v>13.331830610299889</v>
      </c>
      <c r="Q20">
        <f t="shared" si="7"/>
        <v>15.473618305389881</v>
      </c>
      <c r="R20">
        <f t="shared" si="7"/>
        <v>15.823976959388148</v>
      </c>
      <c r="S20">
        <f t="shared" si="7"/>
        <v>16.728105171236894</v>
      </c>
    </row>
    <row r="21" spans="1:19" x14ac:dyDescent="0.25">
      <c r="A21">
        <v>20</v>
      </c>
      <c r="B21">
        <f t="shared" ref="B21:S21" si="8">B7*B$12+B$13</f>
        <v>20.262015907742168</v>
      </c>
      <c r="C21">
        <f t="shared" si="8"/>
        <v>20.841467611457499</v>
      </c>
      <c r="D21">
        <f t="shared" si="8"/>
        <v>21.32062655441819</v>
      </c>
      <c r="E21">
        <f t="shared" si="8"/>
        <v>20.914519950537056</v>
      </c>
      <c r="F21">
        <f t="shared" si="8"/>
        <v>20.414299809426442</v>
      </c>
      <c r="G21">
        <f t="shared" si="8"/>
        <v>21.046107318801234</v>
      </c>
      <c r="H21">
        <f t="shared" si="8"/>
        <v>20.273833609734993</v>
      </c>
      <c r="I21">
        <f t="shared" si="8"/>
        <v>20.247984156950977</v>
      </c>
      <c r="J21">
        <f t="shared" si="8"/>
        <v>18.879531251166693</v>
      </c>
      <c r="K21">
        <f t="shared" si="8"/>
        <v>21.336506157252337</v>
      </c>
      <c r="L21">
        <f t="shared" si="8"/>
        <v>21.321866513227661</v>
      </c>
      <c r="M21">
        <f t="shared" si="8"/>
        <v>20.733628561956124</v>
      </c>
      <c r="N21">
        <f t="shared" si="8"/>
        <v>16.159135471235899</v>
      </c>
      <c r="O21">
        <f t="shared" si="8"/>
        <v>21.037263906605158</v>
      </c>
      <c r="P21">
        <f t="shared" si="8"/>
        <v>15.832067784685741</v>
      </c>
      <c r="Q21">
        <f t="shared" si="8"/>
        <v>18.776545224911796</v>
      </c>
      <c r="R21">
        <f t="shared" si="8"/>
        <v>20.392949834057248</v>
      </c>
      <c r="S21">
        <f t="shared" si="8"/>
        <v>20.533498907267404</v>
      </c>
    </row>
    <row r="22" spans="1:19" x14ac:dyDescent="0.25">
      <c r="A22">
        <v>30</v>
      </c>
      <c r="B22">
        <f t="shared" ref="B22:S22" si="9">B8*B$12+B$13</f>
        <v>29.592810245000724</v>
      </c>
      <c r="C22">
        <f t="shared" si="9"/>
        <v>31.489438290144346</v>
      </c>
      <c r="D22">
        <f t="shared" si="9"/>
        <v>31.331022161494118</v>
      </c>
      <c r="E22">
        <f t="shared" si="9"/>
        <v>31.113940184008769</v>
      </c>
      <c r="F22">
        <f t="shared" si="9"/>
        <v>32.166184688503648</v>
      </c>
      <c r="G22">
        <f t="shared" si="9"/>
        <v>32.393824695062392</v>
      </c>
      <c r="H22">
        <f t="shared" si="9"/>
        <v>29.304203147908396</v>
      </c>
      <c r="I22">
        <f t="shared" si="9"/>
        <v>31.028307063209041</v>
      </c>
      <c r="J22">
        <f t="shared" si="9"/>
        <v>30.20330046712473</v>
      </c>
      <c r="K22">
        <f t="shared" si="9"/>
        <v>32.499173362329856</v>
      </c>
      <c r="L22">
        <f t="shared" si="9"/>
        <v>32.729746152747182</v>
      </c>
      <c r="M22">
        <f t="shared" si="9"/>
        <v>31.981785251545332</v>
      </c>
      <c r="N22">
        <f t="shared" si="9"/>
        <v>26.930476610786656</v>
      </c>
      <c r="O22">
        <f t="shared" si="9"/>
        <v>31.193785088743237</v>
      </c>
      <c r="P22">
        <f t="shared" si="9"/>
        <v>21.190867125565475</v>
      </c>
      <c r="Q22">
        <f t="shared" si="9"/>
        <v>27.302626459483591</v>
      </c>
      <c r="R22">
        <f t="shared" si="9"/>
        <v>32.202359751307682</v>
      </c>
      <c r="S22">
        <f t="shared" si="9"/>
        <v>31.088204352896089</v>
      </c>
    </row>
    <row r="23" spans="1:19" x14ac:dyDescent="0.25">
      <c r="A23">
        <v>40</v>
      </c>
      <c r="B23">
        <f t="shared" ref="B23:S23" si="10">B9*B$12+B$13</f>
        <v>40.17352606561164</v>
      </c>
      <c r="C23">
        <f t="shared" si="10"/>
        <v>40.503382319330569</v>
      </c>
      <c r="D23">
        <f t="shared" si="10"/>
        <v>40.412815718014542</v>
      </c>
      <c r="E23">
        <f t="shared" si="10"/>
        <v>40.671998586445014</v>
      </c>
      <c r="F23">
        <f t="shared" si="10"/>
        <v>41.363585280794155</v>
      </c>
      <c r="G23">
        <f t="shared" si="10"/>
        <v>40.71040264638647</v>
      </c>
      <c r="H23">
        <f t="shared" si="10"/>
        <v>40.939324138334385</v>
      </c>
      <c r="I23">
        <f t="shared" si="10"/>
        <v>40.862256280173099</v>
      </c>
      <c r="J23">
        <f t="shared" si="10"/>
        <v>40.840642652733479</v>
      </c>
      <c r="K23">
        <f t="shared" si="10"/>
        <v>40.813547818265178</v>
      </c>
      <c r="L23">
        <f t="shared" si="10"/>
        <v>41.429422657942155</v>
      </c>
      <c r="M23">
        <f t="shared" si="10"/>
        <v>41.719702727650372</v>
      </c>
      <c r="N23">
        <f t="shared" si="10"/>
        <v>39.932138522228286</v>
      </c>
      <c r="O23">
        <f t="shared" si="10"/>
        <v>39.950383005461688</v>
      </c>
      <c r="P23">
        <f t="shared" si="10"/>
        <v>35.946748294840376</v>
      </c>
      <c r="Q23">
        <f t="shared" si="10"/>
        <v>37.89375316437166</v>
      </c>
      <c r="R23">
        <f t="shared" si="10"/>
        <v>41.032439182253484</v>
      </c>
      <c r="S23">
        <f t="shared" si="10"/>
        <v>41.400183987087857</v>
      </c>
    </row>
    <row r="24" spans="1:19" x14ac:dyDescent="0.25">
      <c r="A24">
        <v>60</v>
      </c>
      <c r="B24">
        <f t="shared" ref="B24:S24" si="11">B10*B$12+B$13</f>
        <v>60.158981352978699</v>
      </c>
      <c r="C24">
        <f t="shared" si="11"/>
        <v>58.685969689648161</v>
      </c>
      <c r="D24">
        <f t="shared" si="11"/>
        <v>58.620846054551407</v>
      </c>
      <c r="E24">
        <f t="shared" si="11"/>
        <v>58.812587958066857</v>
      </c>
      <c r="F24">
        <f t="shared" si="11"/>
        <v>57.884652405216201</v>
      </c>
      <c r="G24">
        <f t="shared" si="11"/>
        <v>57.886362501118725</v>
      </c>
      <c r="H24">
        <f t="shared" si="11"/>
        <v>59.766602875754302</v>
      </c>
      <c r="I24">
        <f t="shared" si="11"/>
        <v>58.829581577320269</v>
      </c>
      <c r="J24">
        <f t="shared" si="11"/>
        <v>59.933988773403044</v>
      </c>
      <c r="K24">
        <f t="shared" si="11"/>
        <v>57.267829844558818</v>
      </c>
      <c r="L24">
        <f t="shared" si="11"/>
        <v>56.833165724656482</v>
      </c>
      <c r="M24">
        <f t="shared" si="11"/>
        <v>57.403521148515864</v>
      </c>
      <c r="N24">
        <f t="shared" si="11"/>
        <v>62.303523967705971</v>
      </c>
      <c r="O24">
        <f t="shared" si="11"/>
        <v>58.996613678160898</v>
      </c>
      <c r="P24">
        <f t="shared" si="11"/>
        <v>64.454977504651481</v>
      </c>
      <c r="Q24">
        <f t="shared" si="11"/>
        <v>62.80405397752304</v>
      </c>
      <c r="R24">
        <f t="shared" si="11"/>
        <v>58.179190116816301</v>
      </c>
      <c r="S24">
        <f t="shared" si="11"/>
        <v>58.037665957864405</v>
      </c>
    </row>
    <row r="26" spans="1:19" x14ac:dyDescent="0.25">
      <c r="A26">
        <v>0</v>
      </c>
      <c r="B26">
        <f t="shared" ref="B26:B34" si="12">ABS(B16-$A16)</f>
        <v>0.68999478519526214</v>
      </c>
      <c r="C26">
        <f t="shared" ref="C26:S26" si="13">ABS(C16-$A16)</f>
        <v>0.1167378333473561</v>
      </c>
      <c r="D26">
        <f t="shared" si="13"/>
        <v>0.43977596085362336</v>
      </c>
      <c r="E26">
        <f t="shared" si="13"/>
        <v>0.33028385595576992</v>
      </c>
      <c r="F26">
        <f t="shared" si="13"/>
        <v>0.11655340875682896</v>
      </c>
      <c r="G26">
        <f t="shared" si="13"/>
        <v>0.70594809668622815</v>
      </c>
      <c r="H26">
        <f t="shared" si="13"/>
        <v>1.2309511217336819</v>
      </c>
      <c r="I26">
        <f t="shared" si="13"/>
        <v>0.13930702117495031</v>
      </c>
      <c r="J26">
        <f t="shared" si="13"/>
        <v>0.71974172963702543</v>
      </c>
      <c r="K26">
        <f t="shared" si="13"/>
        <v>1.3982856184291776</v>
      </c>
      <c r="L26">
        <f t="shared" si="13"/>
        <v>1.0102740447009637</v>
      </c>
      <c r="M26">
        <f t="shared" si="13"/>
        <v>0.44437515581941511</v>
      </c>
      <c r="N26">
        <f t="shared" si="13"/>
        <v>5.7661569541697872</v>
      </c>
      <c r="O26">
        <f t="shared" si="13"/>
        <v>0.7001497557119194</v>
      </c>
      <c r="P26">
        <f t="shared" si="13"/>
        <v>9.6843607190237382</v>
      </c>
      <c r="Q26">
        <f t="shared" si="13"/>
        <v>3.2590706986250702</v>
      </c>
      <c r="R26">
        <f t="shared" si="13"/>
        <v>5.7788308708239811E-3</v>
      </c>
      <c r="S26">
        <f t="shared" si="13"/>
        <v>1.0306106826719272</v>
      </c>
    </row>
    <row r="27" spans="1:19" x14ac:dyDescent="0.25">
      <c r="A27">
        <v>4</v>
      </c>
      <c r="B27">
        <f t="shared" si="12"/>
        <v>0.15175453815972695</v>
      </c>
      <c r="C27">
        <f t="shared" ref="C27:S27" si="14">ABS(C17-$A17)</f>
        <v>0.75510407708810057</v>
      </c>
      <c r="D27">
        <f t="shared" si="14"/>
        <v>0.48886854406953972</v>
      </c>
      <c r="E27">
        <f t="shared" si="14"/>
        <v>0.53182157300578581</v>
      </c>
      <c r="F27">
        <f t="shared" si="14"/>
        <v>0.74161440118508537</v>
      </c>
      <c r="G27">
        <f t="shared" si="14"/>
        <v>0.6899291077058507</v>
      </c>
      <c r="H27">
        <f t="shared" si="14"/>
        <v>2.5340416642478658E-3</v>
      </c>
      <c r="I27">
        <f t="shared" si="14"/>
        <v>0.20431411083188067</v>
      </c>
      <c r="J27">
        <f t="shared" si="14"/>
        <v>0.66136585175791041</v>
      </c>
      <c r="K27">
        <f t="shared" si="14"/>
        <v>0.96260374260502601</v>
      </c>
      <c r="L27">
        <f t="shared" si="14"/>
        <v>1.0342697101024783</v>
      </c>
      <c r="M27">
        <f t="shared" si="14"/>
        <v>0.86432380616355431</v>
      </c>
      <c r="N27">
        <f t="shared" si="14"/>
        <v>3.2931923521991919</v>
      </c>
      <c r="O27">
        <f t="shared" si="14"/>
        <v>0.29598525576476575</v>
      </c>
      <c r="P27">
        <f t="shared" si="14"/>
        <v>5.6849275738707643</v>
      </c>
      <c r="Q27">
        <f t="shared" si="14"/>
        <v>1.286882651605076</v>
      </c>
      <c r="R27">
        <f t="shared" si="14"/>
        <v>0.44622943840070661</v>
      </c>
      <c r="S27">
        <f t="shared" si="14"/>
        <v>0.64352913910803622</v>
      </c>
    </row>
    <row r="28" spans="1:19" x14ac:dyDescent="0.25">
      <c r="A28">
        <v>8</v>
      </c>
      <c r="B28">
        <f t="shared" si="12"/>
        <v>0.36926942934819706</v>
      </c>
      <c r="C28">
        <f t="shared" ref="C28:S28" si="15">ABS(C18-$A18)</f>
        <v>0.83111859869132232</v>
      </c>
      <c r="D28">
        <f t="shared" si="15"/>
        <v>0.55217596792430612</v>
      </c>
      <c r="E28">
        <f t="shared" si="15"/>
        <v>0.95425050249298238</v>
      </c>
      <c r="F28">
        <f t="shared" si="15"/>
        <v>0.72934267684813037</v>
      </c>
      <c r="G28">
        <f t="shared" si="15"/>
        <v>0.59058662284080299</v>
      </c>
      <c r="H28">
        <f t="shared" si="15"/>
        <v>1.175543796041012</v>
      </c>
      <c r="I28">
        <f t="shared" si="15"/>
        <v>0.81842379682152</v>
      </c>
      <c r="J28">
        <f t="shared" si="15"/>
        <v>0.29892975502684749</v>
      </c>
      <c r="K28">
        <f t="shared" si="15"/>
        <v>0.66599143228584268</v>
      </c>
      <c r="L28">
        <f t="shared" si="15"/>
        <v>0.79339033880997079</v>
      </c>
      <c r="M28">
        <f t="shared" si="15"/>
        <v>0.86220718105286664</v>
      </c>
      <c r="N28">
        <f t="shared" si="15"/>
        <v>0.29797860078763705</v>
      </c>
      <c r="O28">
        <f t="shared" si="15"/>
        <v>0.48873168263740396</v>
      </c>
      <c r="P28">
        <f t="shared" si="15"/>
        <v>1.7092524823966837</v>
      </c>
      <c r="Q28">
        <f t="shared" si="15"/>
        <v>1.2901792842622939E-2</v>
      </c>
      <c r="R28">
        <f t="shared" si="15"/>
        <v>0.61426390025293642</v>
      </c>
      <c r="S28">
        <f t="shared" si="15"/>
        <v>0.31835455367332699</v>
      </c>
    </row>
    <row r="29" spans="1:19" x14ac:dyDescent="0.25">
      <c r="A29">
        <v>12</v>
      </c>
      <c r="B29">
        <f t="shared" si="12"/>
        <v>0.54171844059007057</v>
      </c>
      <c r="C29">
        <f t="shared" ref="C29:S29" si="16">ABS(C19-$A19)</f>
        <v>0.3276523331465242</v>
      </c>
      <c r="D29">
        <f t="shared" si="16"/>
        <v>0.64865950057216537</v>
      </c>
      <c r="E29">
        <f t="shared" si="16"/>
        <v>0.6128558341315653</v>
      </c>
      <c r="F29">
        <f t="shared" si="16"/>
        <v>0.67616911671543178</v>
      </c>
      <c r="G29">
        <f t="shared" si="16"/>
        <v>0.19379994522395805</v>
      </c>
      <c r="H29">
        <f t="shared" si="16"/>
        <v>0.50464282869832289</v>
      </c>
      <c r="I29">
        <f t="shared" si="16"/>
        <v>4.1843504189301939E-2</v>
      </c>
      <c r="J29">
        <f t="shared" si="16"/>
        <v>0.43914903046528053</v>
      </c>
      <c r="K29">
        <f t="shared" si="16"/>
        <v>6.1233453339781363E-2</v>
      </c>
      <c r="L29">
        <f t="shared" si="16"/>
        <v>0.40057999044604742</v>
      </c>
      <c r="M29">
        <f t="shared" si="16"/>
        <v>0.36190318597962801</v>
      </c>
      <c r="N29">
        <f t="shared" si="16"/>
        <v>1.9637768027494218</v>
      </c>
      <c r="O29">
        <f t="shared" si="16"/>
        <v>0.27019375366949205</v>
      </c>
      <c r="P29">
        <f t="shared" si="16"/>
        <v>1.8350320953341406</v>
      </c>
      <c r="Q29">
        <f t="shared" si="16"/>
        <v>0.80945227475271331</v>
      </c>
      <c r="R29">
        <f t="shared" si="16"/>
        <v>0.56464367429835249</v>
      </c>
      <c r="S29">
        <f t="shared" si="16"/>
        <v>0.20483599910059169</v>
      </c>
    </row>
    <row r="30" spans="1:19" x14ac:dyDescent="0.25">
      <c r="A30">
        <v>16</v>
      </c>
      <c r="B30">
        <f t="shared" si="12"/>
        <v>0.11809502474998368</v>
      </c>
      <c r="C30">
        <f t="shared" ref="C30:S30" si="17">ABS(C20-$A20)</f>
        <v>0.27687926499802629</v>
      </c>
      <c r="D30">
        <f t="shared" si="17"/>
        <v>0.44416948494139064</v>
      </c>
      <c r="E30">
        <f t="shared" si="17"/>
        <v>0.2555973746169542</v>
      </c>
      <c r="F30">
        <f t="shared" si="17"/>
        <v>0.20185060205142591</v>
      </c>
      <c r="G30">
        <f t="shared" si="17"/>
        <v>0.14356661108821811</v>
      </c>
      <c r="H30">
        <f t="shared" si="17"/>
        <v>0.16273768960935797</v>
      </c>
      <c r="I30">
        <f t="shared" si="17"/>
        <v>0.2357593553643369</v>
      </c>
      <c r="J30">
        <f t="shared" si="17"/>
        <v>1.0983514503845129</v>
      </c>
      <c r="K30">
        <f t="shared" si="17"/>
        <v>1.1710570642536453</v>
      </c>
      <c r="L30">
        <f t="shared" si="17"/>
        <v>0.9243130354861222</v>
      </c>
      <c r="M30">
        <f t="shared" si="17"/>
        <v>0.69417163934782877</v>
      </c>
      <c r="N30">
        <f t="shared" si="17"/>
        <v>2.7188256763640055</v>
      </c>
      <c r="O30">
        <f t="shared" si="17"/>
        <v>0.57701476881262082</v>
      </c>
      <c r="P30">
        <f t="shared" si="17"/>
        <v>2.6681693897001111</v>
      </c>
      <c r="Q30">
        <f t="shared" si="17"/>
        <v>0.52638169461011941</v>
      </c>
      <c r="R30">
        <f t="shared" si="17"/>
        <v>0.17602304061185237</v>
      </c>
      <c r="S30">
        <f t="shared" si="17"/>
        <v>0.72810517123689422</v>
      </c>
    </row>
    <row r="31" spans="1:19" x14ac:dyDescent="0.25">
      <c r="A31">
        <v>20</v>
      </c>
      <c r="B31">
        <f t="shared" si="12"/>
        <v>0.26201590774216754</v>
      </c>
      <c r="C31">
        <f t="shared" ref="C31:S31" si="18">ABS(C21-$A21)</f>
        <v>0.84146761145749949</v>
      </c>
      <c r="D31">
        <f t="shared" si="18"/>
        <v>1.3206265544181903</v>
      </c>
      <c r="E31">
        <f t="shared" si="18"/>
        <v>0.91451995053705559</v>
      </c>
      <c r="F31">
        <f t="shared" si="18"/>
        <v>0.41429980942644207</v>
      </c>
      <c r="G31">
        <f t="shared" si="18"/>
        <v>1.0461073188012335</v>
      </c>
      <c r="H31">
        <f t="shared" si="18"/>
        <v>0.27383360973499293</v>
      </c>
      <c r="I31">
        <f t="shared" si="18"/>
        <v>0.24798415695097731</v>
      </c>
      <c r="J31">
        <f t="shared" si="18"/>
        <v>1.1204687488333072</v>
      </c>
      <c r="K31">
        <f t="shared" si="18"/>
        <v>1.3365061572523373</v>
      </c>
      <c r="L31">
        <f t="shared" si="18"/>
        <v>1.3218665132276612</v>
      </c>
      <c r="M31">
        <f t="shared" si="18"/>
        <v>0.7336285619561238</v>
      </c>
      <c r="N31">
        <f t="shared" si="18"/>
        <v>3.8408645287641008</v>
      </c>
      <c r="O31">
        <f t="shared" si="18"/>
        <v>1.0372639066051583</v>
      </c>
      <c r="P31">
        <f t="shared" si="18"/>
        <v>4.1679322153142593</v>
      </c>
      <c r="Q31">
        <f t="shared" si="18"/>
        <v>1.2234547750882037</v>
      </c>
      <c r="R31">
        <f t="shared" si="18"/>
        <v>0.39294983405724793</v>
      </c>
      <c r="S31">
        <f t="shared" si="18"/>
        <v>0.53349890726740412</v>
      </c>
    </row>
    <row r="32" spans="1:19" x14ac:dyDescent="0.25">
      <c r="A32">
        <v>30</v>
      </c>
      <c r="B32">
        <f t="shared" si="12"/>
        <v>0.40718975499927623</v>
      </c>
      <c r="C32">
        <f t="shared" ref="C32:S32" si="19">ABS(C22-$A22)</f>
        <v>1.4894382901443457</v>
      </c>
      <c r="D32">
        <f t="shared" si="19"/>
        <v>1.3310221614941184</v>
      </c>
      <c r="E32">
        <f t="shared" si="19"/>
        <v>1.1139401840087686</v>
      </c>
      <c r="F32">
        <f t="shared" si="19"/>
        <v>2.1661846885036482</v>
      </c>
      <c r="G32">
        <f t="shared" si="19"/>
        <v>2.393824695062392</v>
      </c>
      <c r="H32">
        <f t="shared" si="19"/>
        <v>0.69579685209160402</v>
      </c>
      <c r="I32">
        <f t="shared" si="19"/>
        <v>1.0283070632090414</v>
      </c>
      <c r="J32">
        <f t="shared" si="19"/>
        <v>0.20330046712473049</v>
      </c>
      <c r="K32">
        <f t="shared" si="19"/>
        <v>2.4991733623298558</v>
      </c>
      <c r="L32">
        <f t="shared" si="19"/>
        <v>2.7297461527471825</v>
      </c>
      <c r="M32">
        <f t="shared" si="19"/>
        <v>1.9817852515453325</v>
      </c>
      <c r="N32">
        <f t="shared" si="19"/>
        <v>3.0695233892133444</v>
      </c>
      <c r="O32">
        <f t="shared" si="19"/>
        <v>1.1937850887432369</v>
      </c>
      <c r="P32">
        <f t="shared" si="19"/>
        <v>8.8091328744345248</v>
      </c>
      <c r="Q32">
        <f t="shared" si="19"/>
        <v>2.6973735405164092</v>
      </c>
      <c r="R32">
        <f t="shared" si="19"/>
        <v>2.2023597513076822</v>
      </c>
      <c r="S32">
        <f t="shared" si="19"/>
        <v>1.0882043528960885</v>
      </c>
    </row>
    <row r="33" spans="1:19" x14ac:dyDescent="0.25">
      <c r="A33">
        <v>40</v>
      </c>
      <c r="B33">
        <f t="shared" si="12"/>
        <v>0.17352606561163952</v>
      </c>
      <c r="C33">
        <f t="shared" ref="C33:S33" si="20">ABS(C23-$A23)</f>
        <v>0.50338231933056932</v>
      </c>
      <c r="D33">
        <f t="shared" si="20"/>
        <v>0.4128157180145422</v>
      </c>
      <c r="E33">
        <f t="shared" si="20"/>
        <v>0.67199858644501376</v>
      </c>
      <c r="F33">
        <f t="shared" si="20"/>
        <v>1.3635852807941546</v>
      </c>
      <c r="G33">
        <f t="shared" si="20"/>
        <v>0.71040264638646988</v>
      </c>
      <c r="H33">
        <f t="shared" si="20"/>
        <v>0.93932413833438488</v>
      </c>
      <c r="I33">
        <f t="shared" si="20"/>
        <v>0.8622562801730993</v>
      </c>
      <c r="J33">
        <f t="shared" si="20"/>
        <v>0.84064265273347871</v>
      </c>
      <c r="K33">
        <f t="shared" si="20"/>
        <v>0.81354781826517808</v>
      </c>
      <c r="L33">
        <f t="shared" si="20"/>
        <v>1.4294226579421547</v>
      </c>
      <c r="M33">
        <f t="shared" si="20"/>
        <v>1.7197027276503718</v>
      </c>
      <c r="N33">
        <f t="shared" si="20"/>
        <v>6.7861477771714362E-2</v>
      </c>
      <c r="O33">
        <f t="shared" si="20"/>
        <v>4.9616994538311587E-2</v>
      </c>
      <c r="P33">
        <f t="shared" si="20"/>
        <v>4.0532517051596244</v>
      </c>
      <c r="Q33">
        <f t="shared" si="20"/>
        <v>2.1062468356283404</v>
      </c>
      <c r="R33">
        <f t="shared" si="20"/>
        <v>1.0324391822534835</v>
      </c>
      <c r="S33">
        <f t="shared" si="20"/>
        <v>1.400183987087857</v>
      </c>
    </row>
    <row r="34" spans="1:19" x14ac:dyDescent="0.25">
      <c r="A34">
        <v>60</v>
      </c>
      <c r="B34">
        <f t="shared" si="12"/>
        <v>0.15898135297869942</v>
      </c>
      <c r="C34">
        <f t="shared" ref="C34:S34" si="21">ABS(C24-$A24)</f>
        <v>1.3140303103518391</v>
      </c>
      <c r="D34">
        <f t="shared" si="21"/>
        <v>1.3791539454485928</v>
      </c>
      <c r="E34">
        <f t="shared" si="21"/>
        <v>1.1874120419331433</v>
      </c>
      <c r="F34">
        <f t="shared" si="21"/>
        <v>2.115347594783799</v>
      </c>
      <c r="G34">
        <f t="shared" si="21"/>
        <v>2.1136374988812747</v>
      </c>
      <c r="H34">
        <f t="shared" si="21"/>
        <v>0.23339712424569825</v>
      </c>
      <c r="I34">
        <f t="shared" si="21"/>
        <v>1.170418422679731</v>
      </c>
      <c r="J34">
        <f t="shared" si="21"/>
        <v>6.6011226596955908E-2</v>
      </c>
      <c r="K34">
        <f t="shared" si="21"/>
        <v>2.7321701554411817</v>
      </c>
      <c r="L34">
        <f t="shared" si="21"/>
        <v>3.1668342753435184</v>
      </c>
      <c r="M34">
        <f t="shared" si="21"/>
        <v>2.5964788514841359</v>
      </c>
      <c r="N34">
        <f t="shared" si="21"/>
        <v>2.3035239677059707</v>
      </c>
      <c r="O34">
        <f t="shared" si="21"/>
        <v>1.0033863218391019</v>
      </c>
      <c r="P34">
        <f t="shared" si="21"/>
        <v>4.454977504651481</v>
      </c>
      <c r="Q34">
        <f t="shared" si="21"/>
        <v>2.80405397752304</v>
      </c>
      <c r="R34">
        <f t="shared" si="21"/>
        <v>1.8208098831836992</v>
      </c>
      <c r="S34">
        <f t="shared" si="21"/>
        <v>1.9623340421355948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F582-D433-4D48-99AB-1A0E9CF33A46}">
  <dimension ref="A1:S34"/>
  <sheetViews>
    <sheetView workbookViewId="0">
      <selection activeCell="B14" sqref="B14:S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0</v>
      </c>
      <c r="B2" s="1">
        <v>22.082763659187194</v>
      </c>
      <c r="C2" s="1">
        <v>67.468857792158488</v>
      </c>
      <c r="D2" s="1">
        <v>295.53841737766686</v>
      </c>
      <c r="E2" s="1">
        <v>475.52197646028003</v>
      </c>
      <c r="F2" s="1">
        <v>159.0835669914091</v>
      </c>
      <c r="G2" s="1">
        <v>386.34295606195769</v>
      </c>
      <c r="H2" s="1">
        <v>475.77761938166566</v>
      </c>
      <c r="I2" s="1">
        <v>373.71093731183902</v>
      </c>
      <c r="J2" s="1">
        <v>90.079411936536602</v>
      </c>
      <c r="K2" s="1">
        <v>261.19581664904143</v>
      </c>
      <c r="L2" s="1">
        <v>607.38625052986629</v>
      </c>
      <c r="M2" s="1">
        <v>299.28032754484377</v>
      </c>
      <c r="N2" s="1">
        <v>499.14170612750848</v>
      </c>
      <c r="O2" s="1">
        <v>135.13652420779101</v>
      </c>
      <c r="P2" s="1">
        <v>2.9785116602287776</v>
      </c>
      <c r="Q2" s="1">
        <v>21.461932378492516</v>
      </c>
      <c r="R2" s="1">
        <v>601.88913206057748</v>
      </c>
      <c r="S2" s="1">
        <v>202.77082579844256</v>
      </c>
    </row>
    <row r="3" spans="1:19" x14ac:dyDescent="0.25">
      <c r="A3" s="1">
        <v>4</v>
      </c>
      <c r="B3" s="1">
        <v>63.203335308008526</v>
      </c>
      <c r="C3" s="1">
        <v>107.8905570875842</v>
      </c>
      <c r="D3" s="1">
        <v>352.42050781368977</v>
      </c>
      <c r="E3" s="1">
        <v>540.45481123293143</v>
      </c>
      <c r="F3" s="1">
        <v>207.87082818031834</v>
      </c>
      <c r="G3" s="1">
        <v>444.95484190747084</v>
      </c>
      <c r="H3" s="1">
        <v>505.15882594848597</v>
      </c>
      <c r="I3" s="1">
        <v>423.43429018846712</v>
      </c>
      <c r="J3" s="1">
        <v>123.42300593573596</v>
      </c>
      <c r="K3" s="1">
        <v>331.21934413276762</v>
      </c>
      <c r="L3" s="1">
        <v>664.54026261501497</v>
      </c>
      <c r="M3" s="1">
        <v>340.72387957283951</v>
      </c>
      <c r="N3" s="1">
        <v>511.34334842646024</v>
      </c>
      <c r="O3" s="1">
        <v>202.56069073934384</v>
      </c>
      <c r="P3" s="1">
        <v>2.9778683288529759</v>
      </c>
      <c r="Q3" s="1">
        <v>31.336907217309168</v>
      </c>
      <c r="R3" s="1">
        <v>653.4437854387686</v>
      </c>
      <c r="S3" s="1">
        <v>282.04721683742355</v>
      </c>
    </row>
    <row r="4" spans="1:19" x14ac:dyDescent="0.25">
      <c r="A4" s="1">
        <v>8</v>
      </c>
      <c r="B4" s="1">
        <v>99.420199793409708</v>
      </c>
      <c r="C4" s="1">
        <v>141.69057510222288</v>
      </c>
      <c r="D4" s="1">
        <v>399.05217804995306</v>
      </c>
      <c r="E4" s="1">
        <v>591.45915247134815</v>
      </c>
      <c r="F4" s="1">
        <v>254.01761742858378</v>
      </c>
      <c r="G4" s="1">
        <v>486.06862851865714</v>
      </c>
      <c r="H4" s="1">
        <v>531.13629669988075</v>
      </c>
      <c r="I4" s="1">
        <v>466.00210088448182</v>
      </c>
      <c r="J4" s="1">
        <v>162.89230406877448</v>
      </c>
      <c r="K4" s="1">
        <v>385.1345491068148</v>
      </c>
      <c r="L4" s="1">
        <v>711.61951891373178</v>
      </c>
      <c r="M4" s="1">
        <v>374.07133706014054</v>
      </c>
      <c r="N4" s="1">
        <v>531.70500412374531</v>
      </c>
      <c r="O4" s="1">
        <v>264.66781721214267</v>
      </c>
      <c r="P4" s="1">
        <v>3.6738307070132046</v>
      </c>
      <c r="Q4" s="1">
        <v>53.516468668341744</v>
      </c>
      <c r="R4" s="1">
        <v>696.58483004823836</v>
      </c>
      <c r="S4" s="1">
        <v>342.63616277080735</v>
      </c>
    </row>
    <row r="5" spans="1:19" x14ac:dyDescent="0.25">
      <c r="A5" s="1">
        <v>12</v>
      </c>
      <c r="B5" s="1">
        <v>134.78421801053193</v>
      </c>
      <c r="C5" s="1">
        <v>196.18675619002281</v>
      </c>
      <c r="D5" s="1">
        <v>441.10552862515993</v>
      </c>
      <c r="E5" s="1">
        <v>639.49339653763025</v>
      </c>
      <c r="F5" s="1">
        <v>295.56006782163377</v>
      </c>
      <c r="G5" s="1">
        <v>524.20208886791636</v>
      </c>
      <c r="H5" s="1">
        <v>568.940348600731</v>
      </c>
      <c r="I5" s="1">
        <v>516.04590842049936</v>
      </c>
      <c r="J5" s="1">
        <v>197.13815905836924</v>
      </c>
      <c r="K5" s="1">
        <v>439.89630157685764</v>
      </c>
      <c r="L5" s="1">
        <v>759.0665390934746</v>
      </c>
      <c r="M5" s="1">
        <v>405.1772618421125</v>
      </c>
      <c r="N5" s="1">
        <v>548.82336760178555</v>
      </c>
      <c r="O5" s="1">
        <v>338.77859777534167</v>
      </c>
      <c r="P5" s="1">
        <v>9.4544740947459864</v>
      </c>
      <c r="Q5" s="1">
        <v>78.536270267146051</v>
      </c>
      <c r="R5" s="1">
        <v>741.60031033633265</v>
      </c>
      <c r="S5" s="1">
        <v>403.44809521376072</v>
      </c>
    </row>
    <row r="6" spans="1:19" x14ac:dyDescent="0.25">
      <c r="A6" s="1">
        <v>16</v>
      </c>
      <c r="B6" s="1">
        <v>175.04099676700901</v>
      </c>
      <c r="C6" s="1">
        <v>240.05943091945068</v>
      </c>
      <c r="D6" s="1">
        <v>480.9807078327338</v>
      </c>
      <c r="E6" s="1">
        <v>678.55163104573319</v>
      </c>
      <c r="F6" s="1">
        <v>335.41666237345498</v>
      </c>
      <c r="G6" s="1">
        <v>555.42787104303943</v>
      </c>
      <c r="H6" s="1">
        <v>599.45492889501634</v>
      </c>
      <c r="I6" s="1">
        <v>549.58442768878967</v>
      </c>
      <c r="J6" s="1">
        <v>226.21372999639391</v>
      </c>
      <c r="K6" s="1">
        <v>480.27255552513816</v>
      </c>
      <c r="L6" s="1">
        <v>792.51468498464806</v>
      </c>
      <c r="M6" s="1">
        <v>427.47554482838387</v>
      </c>
      <c r="N6" s="1">
        <v>578.45123575737546</v>
      </c>
      <c r="O6" s="1">
        <v>389.74794860480534</v>
      </c>
      <c r="P6" s="1">
        <v>13.157128645874304</v>
      </c>
      <c r="Q6" s="1">
        <v>102.90452349449104</v>
      </c>
      <c r="R6" s="1">
        <v>774.59993900998586</v>
      </c>
      <c r="S6" s="1">
        <v>443.01959030632878</v>
      </c>
    </row>
    <row r="7" spans="1:19" x14ac:dyDescent="0.25">
      <c r="A7" s="1">
        <v>20</v>
      </c>
      <c r="B7" s="1">
        <v>216.22732261735192</v>
      </c>
      <c r="C7" s="1">
        <v>288.90459702152748</v>
      </c>
      <c r="D7" s="1">
        <v>522.76524302555401</v>
      </c>
      <c r="E7" s="1">
        <v>716.03131594605884</v>
      </c>
      <c r="F7" s="1">
        <v>379.12292060451682</v>
      </c>
      <c r="G7" s="1">
        <v>591.09855335946133</v>
      </c>
      <c r="H7" s="1">
        <v>634.92576292834588</v>
      </c>
      <c r="I7" s="1">
        <v>590.22523218838614</v>
      </c>
      <c r="J7" s="1">
        <v>273.90746618932423</v>
      </c>
      <c r="K7" s="1">
        <v>529.87638297591275</v>
      </c>
      <c r="L7" s="1">
        <v>827.79537361228506</v>
      </c>
      <c r="M7" s="1">
        <v>452.59708095165979</v>
      </c>
      <c r="N7" s="1">
        <v>613.12214197327694</v>
      </c>
      <c r="O7" s="1">
        <v>444.93771443844685</v>
      </c>
      <c r="P7" s="1">
        <v>15.736516976902612</v>
      </c>
      <c r="Q7" s="1">
        <v>126.92068836708403</v>
      </c>
      <c r="R7" s="1">
        <v>815.07512277617116</v>
      </c>
      <c r="S7" s="1">
        <v>486.92632687432854</v>
      </c>
    </row>
    <row r="8" spans="1:19" x14ac:dyDescent="0.25">
      <c r="A8" s="1">
        <v>30</v>
      </c>
      <c r="B8" s="1">
        <v>284.05701915053021</v>
      </c>
      <c r="C8" s="1">
        <v>376.7067380779821</v>
      </c>
      <c r="D8" s="1">
        <v>608.15436739318739</v>
      </c>
      <c r="E8" s="1">
        <v>790.24352690297758</v>
      </c>
      <c r="F8" s="1">
        <v>455.37140367802436</v>
      </c>
      <c r="G8" s="1">
        <v>656.69411231263666</v>
      </c>
      <c r="H8" s="1">
        <v>701.59890930609583</v>
      </c>
      <c r="I8" s="1">
        <v>671.21947283844599</v>
      </c>
      <c r="J8" s="1">
        <v>367.73985494553489</v>
      </c>
      <c r="K8" s="1">
        <v>607.7854509247851</v>
      </c>
      <c r="L8" s="1">
        <v>891.62407261434635</v>
      </c>
      <c r="M8" s="1">
        <v>499.12412156472823</v>
      </c>
      <c r="N8" s="1">
        <v>732.56114991880418</v>
      </c>
      <c r="O8" s="1">
        <v>546.2963413907504</v>
      </c>
      <c r="P8" s="1">
        <v>27.980459992836504</v>
      </c>
      <c r="Q8" s="1">
        <v>184.93722729866994</v>
      </c>
      <c r="R8" s="1">
        <v>886.25952490210841</v>
      </c>
      <c r="S8" s="1">
        <v>586.88595925383072</v>
      </c>
    </row>
    <row r="9" spans="1:19" x14ac:dyDescent="0.25">
      <c r="A9" s="1">
        <v>40</v>
      </c>
      <c r="B9" s="1">
        <v>361.25317131562593</v>
      </c>
      <c r="C9" s="1">
        <v>440.65239719522714</v>
      </c>
      <c r="D9" s="1">
        <v>677.84754724032928</v>
      </c>
      <c r="E9" s="1">
        <v>852.45334420614518</v>
      </c>
      <c r="F9" s="1">
        <v>507.02861142511915</v>
      </c>
      <c r="G9" s="1">
        <v>704.1414108894686</v>
      </c>
      <c r="H9" s="1">
        <v>768.81155009643987</v>
      </c>
      <c r="I9" s="1">
        <v>730.61725681893643</v>
      </c>
      <c r="J9" s="1">
        <v>442.60097446505426</v>
      </c>
      <c r="K9" s="1">
        <v>663.71127620364393</v>
      </c>
      <c r="L9" s="1">
        <v>936.40315421408934</v>
      </c>
      <c r="M9" s="1">
        <v>533.19522659629945</v>
      </c>
      <c r="N9" s="1">
        <v>852.45334420614518</v>
      </c>
      <c r="O9" s="1">
        <v>644.49684844032868</v>
      </c>
      <c r="P9" s="1">
        <v>59.624785183802835</v>
      </c>
      <c r="Q9" s="1">
        <v>255.47964762456147</v>
      </c>
      <c r="R9" s="1">
        <v>941.94444527974827</v>
      </c>
      <c r="S9" s="1">
        <v>661.54672559550602</v>
      </c>
    </row>
    <row r="10" spans="1:19" x14ac:dyDescent="0.25">
      <c r="A10" s="1">
        <v>60</v>
      </c>
      <c r="B10" s="1">
        <v>454.29966870697785</v>
      </c>
      <c r="C10" s="1">
        <v>556.5125711229706</v>
      </c>
      <c r="D10" s="1">
        <v>774.6076685447307</v>
      </c>
      <c r="E10" s="1">
        <v>947.2756009539188</v>
      </c>
      <c r="F10" s="1">
        <v>580.72622598347277</v>
      </c>
      <c r="G10" s="1">
        <v>773.41280234999329</v>
      </c>
      <c r="H10" s="1">
        <v>865.35052394827039</v>
      </c>
      <c r="I10" s="1">
        <v>828.67375923317024</v>
      </c>
      <c r="J10" s="1">
        <v>544.8572427281448</v>
      </c>
      <c r="K10" s="1">
        <v>753.32076920187694</v>
      </c>
      <c r="L10" s="1">
        <v>1005.0189557665368</v>
      </c>
      <c r="M10" s="1">
        <v>582.26087051411093</v>
      </c>
      <c r="N10" s="1">
        <v>994.27704253607772</v>
      </c>
      <c r="O10" s="1">
        <v>778.46612657760818</v>
      </c>
      <c r="P10" s="1">
        <v>107.1022081884981</v>
      </c>
      <c r="Q10" s="1">
        <v>384.65613897902784</v>
      </c>
      <c r="R10" s="1">
        <v>1021.0568846574098</v>
      </c>
      <c r="S10" s="1">
        <v>746.94819028586096</v>
      </c>
    </row>
    <row r="12" spans="1:19" x14ac:dyDescent="0.25">
      <c r="B12">
        <f t="shared" ref="B12:S12" si="0">SLOPE($A2:$A10,B2:B10)</f>
        <v>0.13346780671878464</v>
      </c>
      <c r="C12">
        <f t="shared" si="0"/>
        <v>0.11664668631606655</v>
      </c>
      <c r="D12">
        <f t="shared" si="0"/>
        <v>0.120952160966654</v>
      </c>
      <c r="E12">
        <f t="shared" si="0"/>
        <v>0.12408457755184531</v>
      </c>
      <c r="F12">
        <f t="shared" si="0"/>
        <v>0.13307397036426039</v>
      </c>
      <c r="G12">
        <f t="shared" si="0"/>
        <v>0.14915626783040822</v>
      </c>
      <c r="H12">
        <f t="shared" si="0"/>
        <v>0.14827717522650147</v>
      </c>
      <c r="I12">
        <f t="shared" si="0"/>
        <v>0.12723891127572662</v>
      </c>
      <c r="J12">
        <f t="shared" si="0"/>
        <v>0.12489030554349434</v>
      </c>
      <c r="K12">
        <f t="shared" si="0"/>
        <v>0.11630721433464689</v>
      </c>
      <c r="L12">
        <f t="shared" si="0"/>
        <v>0.14308351746600581</v>
      </c>
      <c r="M12">
        <f t="shared" si="0"/>
        <v>0.20260363157535302</v>
      </c>
      <c r="N12">
        <f t="shared" si="0"/>
        <v>0.11038692628905898</v>
      </c>
      <c r="O12">
        <f t="shared" si="0"/>
        <v>8.9874185221819614E-2</v>
      </c>
      <c r="P12">
        <f t="shared" si="0"/>
        <v>0.53100632866328712</v>
      </c>
      <c r="Q12">
        <f t="shared" si="0"/>
        <v>0.16125009442641725</v>
      </c>
      <c r="R12">
        <f t="shared" si="0"/>
        <v>0.13673179246854372</v>
      </c>
      <c r="S12">
        <f t="shared" si="0"/>
        <v>0.10468951977387549</v>
      </c>
    </row>
    <row r="13" spans="1:19" x14ac:dyDescent="0.25">
      <c r="B13">
        <f t="shared" ref="B13:S13" si="1">INTERCEPT($A2:$A10,B2:B10)</f>
        <v>-5.7362154575400233</v>
      </c>
      <c r="C13">
        <f t="shared" si="1"/>
        <v>-10.202983194536799</v>
      </c>
      <c r="D13">
        <f t="shared" si="1"/>
        <v>-40.070149578501344</v>
      </c>
      <c r="E13">
        <f t="shared" si="1"/>
        <v>-64.80346149320826</v>
      </c>
      <c r="F13">
        <f t="shared" si="1"/>
        <v>-25.822568652437599</v>
      </c>
      <c r="G13">
        <f t="shared" si="1"/>
        <v>-63.781067111106211</v>
      </c>
      <c r="H13">
        <f t="shared" si="1"/>
        <v>-71.993029493481856</v>
      </c>
      <c r="I13">
        <f t="shared" si="1"/>
        <v>-51.690941864454629</v>
      </c>
      <c r="J13">
        <f t="shared" si="1"/>
        <v>-12.593343005447867</v>
      </c>
      <c r="K13">
        <f t="shared" si="1"/>
        <v>-36.427520966410654</v>
      </c>
      <c r="L13">
        <f t="shared" si="1"/>
        <v>-93.291614360650541</v>
      </c>
      <c r="M13">
        <f t="shared" si="1"/>
        <v>-66.996833158839266</v>
      </c>
      <c r="N13">
        <f t="shared" si="1"/>
        <v>-50.786081367455637</v>
      </c>
      <c r="O13">
        <f t="shared" si="1"/>
        <v>-16.287420816903829</v>
      </c>
      <c r="P13">
        <f t="shared" si="1"/>
        <v>6.7924792152078695</v>
      </c>
      <c r="Q13">
        <f t="shared" si="1"/>
        <v>-1.1010858897467806</v>
      </c>
      <c r="R13">
        <f t="shared" si="1"/>
        <v>-87.24813518156121</v>
      </c>
      <c r="S13">
        <f t="shared" si="1"/>
        <v>-27.234847534412243</v>
      </c>
    </row>
    <row r="14" spans="1:19" x14ac:dyDescent="0.25">
      <c r="B14">
        <f>MAX(B26:B36)/MAX($A:$A)</f>
        <v>8.5030584702486797E-2</v>
      </c>
      <c r="C14">
        <f t="shared" ref="C14:S14" si="2">MAX(C26:C36)/MAX($A:$A)</f>
        <v>8.812726466346632E-2</v>
      </c>
      <c r="D14">
        <f t="shared" si="2"/>
        <v>0.10632796944457515</v>
      </c>
      <c r="E14">
        <f t="shared" si="2"/>
        <v>0.12101947872784749</v>
      </c>
      <c r="F14">
        <f t="shared" si="2"/>
        <v>0.14238373443606941</v>
      </c>
      <c r="G14">
        <f t="shared" si="2"/>
        <v>0.14036166700540065</v>
      </c>
      <c r="H14">
        <f t="shared" si="2"/>
        <v>6.1354970360988643E-2</v>
      </c>
      <c r="I14">
        <f t="shared" si="2"/>
        <v>0.10418991561437399</v>
      </c>
      <c r="J14">
        <f t="shared" si="2"/>
        <v>7.576592472573343E-2</v>
      </c>
      <c r="K14">
        <f t="shared" si="2"/>
        <v>0.14684801333511502</v>
      </c>
      <c r="L14">
        <f t="shared" si="2"/>
        <v>0.15816611749270565</v>
      </c>
      <c r="M14">
        <f t="shared" si="2"/>
        <v>0.15047777114090005</v>
      </c>
      <c r="N14">
        <f t="shared" si="2"/>
        <v>7.1877289243946402E-2</v>
      </c>
      <c r="O14">
        <f t="shared" si="2"/>
        <v>0.10539019946592347</v>
      </c>
      <c r="P14">
        <f t="shared" si="2"/>
        <v>0.13956812927977907</v>
      </c>
      <c r="Q14">
        <f t="shared" si="2"/>
        <v>3.9327545547641986E-2</v>
      </c>
      <c r="R14">
        <f t="shared" si="2"/>
        <v>0.12728661883344117</v>
      </c>
      <c r="S14">
        <f t="shared" si="2"/>
        <v>0.15062000329033484</v>
      </c>
    </row>
    <row r="16" spans="1:19" x14ac:dyDescent="0.25">
      <c r="A16">
        <v>0</v>
      </c>
      <c r="B16">
        <f t="shared" ref="B16:S16" si="3">B2*B$12+B$13</f>
        <v>-2.7888774256590256</v>
      </c>
      <c r="C16">
        <f t="shared" si="3"/>
        <v>-2.3329645035515858</v>
      </c>
      <c r="D16">
        <f t="shared" si="3"/>
        <v>-4.3241393480076056</v>
      </c>
      <c r="E16">
        <f t="shared" si="3"/>
        <v>-5.7985179275158814</v>
      </c>
      <c r="F16">
        <f t="shared" si="3"/>
        <v>-4.6526867731819941</v>
      </c>
      <c r="G16">
        <f t="shared" si="3"/>
        <v>-6.1555936823372122</v>
      </c>
      <c r="H16">
        <f t="shared" si="3"/>
        <v>-1.4460680555788912</v>
      </c>
      <c r="I16">
        <f t="shared" si="3"/>
        <v>-4.14036906906491</v>
      </c>
      <c r="J16">
        <f t="shared" si="3"/>
        <v>-1.3432977255155194</v>
      </c>
      <c r="K16">
        <f t="shared" si="3"/>
        <v>-6.0485631360974637</v>
      </c>
      <c r="L16">
        <f t="shared" si="3"/>
        <v>-6.3846531743486423</v>
      </c>
      <c r="M16">
        <f t="shared" si="3"/>
        <v>-6.3615519391927648</v>
      </c>
      <c r="N16">
        <f t="shared" si="3"/>
        <v>4.3126373546367844</v>
      </c>
      <c r="O16">
        <f t="shared" si="3"/>
        <v>-4.1421358100199104</v>
      </c>
      <c r="P16">
        <f t="shared" si="3"/>
        <v>8.3740877567867447</v>
      </c>
      <c r="Q16">
        <f t="shared" si="3"/>
        <v>2.3596527328585193</v>
      </c>
      <c r="R16">
        <f t="shared" si="3"/>
        <v>-4.9507552875824246</v>
      </c>
      <c r="S16">
        <f t="shared" si="3"/>
        <v>-6.0068671574211301</v>
      </c>
    </row>
    <row r="17" spans="1:19" x14ac:dyDescent="0.25">
      <c r="A17">
        <v>4</v>
      </c>
      <c r="B17">
        <f t="shared" ref="B17:S17" si="4">B3*B$12+B$13</f>
        <v>2.6993950833317957</v>
      </c>
      <c r="C17">
        <f t="shared" si="4"/>
        <v>2.3820927745243061</v>
      </c>
      <c r="D17">
        <f t="shared" si="4"/>
        <v>2.5558724105300001</v>
      </c>
      <c r="E17">
        <f t="shared" si="4"/>
        <v>2.2586454444923305</v>
      </c>
      <c r="F17">
        <f t="shared" si="4"/>
        <v>1.8396277764243472</v>
      </c>
      <c r="G17">
        <f t="shared" si="4"/>
        <v>2.586736460881454</v>
      </c>
      <c r="H17">
        <f t="shared" si="4"/>
        <v>2.9104942588955538</v>
      </c>
      <c r="I17">
        <f t="shared" si="4"/>
        <v>2.1863762159360149</v>
      </c>
      <c r="J17">
        <f t="shared" si="4"/>
        <v>2.8209939169627116</v>
      </c>
      <c r="K17">
        <f t="shared" si="4"/>
        <v>2.0956782834203125</v>
      </c>
      <c r="L17">
        <f t="shared" si="4"/>
        <v>1.793143912089036</v>
      </c>
      <c r="M17">
        <f t="shared" si="4"/>
        <v>2.0350622070612587</v>
      </c>
      <c r="N17">
        <f t="shared" si="4"/>
        <v>5.6595391436966338</v>
      </c>
      <c r="O17">
        <f t="shared" si="4"/>
        <v>1.9175562212636805</v>
      </c>
      <c r="P17">
        <f t="shared" si="4"/>
        <v>8.3737461437547669</v>
      </c>
      <c r="Q17">
        <f t="shared" si="4"/>
        <v>3.9519933580761988</v>
      </c>
      <c r="R17">
        <f t="shared" si="4"/>
        <v>2.0984048789121061</v>
      </c>
      <c r="S17">
        <f t="shared" si="4"/>
        <v>2.2925401498557569</v>
      </c>
    </row>
    <row r="18" spans="1:19" x14ac:dyDescent="0.25">
      <c r="A18">
        <v>8</v>
      </c>
      <c r="B18">
        <f t="shared" ref="B18:S18" si="5">B4*B$12+B$13</f>
        <v>7.5331805524297355</v>
      </c>
      <c r="C18">
        <f t="shared" si="5"/>
        <v>6.324752873355262</v>
      </c>
      <c r="D18">
        <f t="shared" si="5"/>
        <v>8.1960736950904476</v>
      </c>
      <c r="E18">
        <f t="shared" si="5"/>
        <v>8.5874975803714335</v>
      </c>
      <c r="F18">
        <f t="shared" si="5"/>
        <v>7.9805642412537914</v>
      </c>
      <c r="G18">
        <f t="shared" si="5"/>
        <v>8.7191154281818086</v>
      </c>
      <c r="H18">
        <f t="shared" si="5"/>
        <v>6.7623602414414279</v>
      </c>
      <c r="I18">
        <f t="shared" si="5"/>
        <v>7.6026581042881602</v>
      </c>
      <c r="J18">
        <f t="shared" si="5"/>
        <v>7.7503266203851631</v>
      </c>
      <c r="K18">
        <f t="shared" si="5"/>
        <v>8.3664055842332417</v>
      </c>
      <c r="L18">
        <f t="shared" si="5"/>
        <v>8.5294095029930475</v>
      </c>
      <c r="M18">
        <f t="shared" si="5"/>
        <v>8.7913781977931507</v>
      </c>
      <c r="N18">
        <f t="shared" si="5"/>
        <v>7.9071997302760408</v>
      </c>
      <c r="O18">
        <f t="shared" si="5"/>
        <v>7.4993836094749788</v>
      </c>
      <c r="P18">
        <f t="shared" si="5"/>
        <v>8.7433065710694002</v>
      </c>
      <c r="Q18">
        <f t="shared" si="5"/>
        <v>7.5284497363917264</v>
      </c>
      <c r="R18">
        <f t="shared" si="5"/>
        <v>7.9971572373303133</v>
      </c>
      <c r="S18">
        <f t="shared" si="5"/>
        <v>8.6355678032270156</v>
      </c>
    </row>
    <row r="19" spans="1:19" x14ac:dyDescent="0.25">
      <c r="A19">
        <v>12</v>
      </c>
      <c r="B19">
        <f t="shared" ref="B19:S19" si="6">B5*B$12+B$13</f>
        <v>12.253138500632183</v>
      </c>
      <c r="C19">
        <f t="shared" si="6"/>
        <v>12.681551814127417</v>
      </c>
      <c r="D19">
        <f t="shared" si="6"/>
        <v>13.282517323050001</v>
      </c>
      <c r="E19">
        <f t="shared" si="6"/>
        <v>14.547806463358285</v>
      </c>
      <c r="F19">
        <f t="shared" si="6"/>
        <v>13.508783053717284</v>
      </c>
      <c r="G19">
        <f t="shared" si="6"/>
        <v>14.406960053336178</v>
      </c>
      <c r="H19">
        <f t="shared" si="6"/>
        <v>12.367838269415557</v>
      </c>
      <c r="I19">
        <f t="shared" si="6"/>
        <v>13.970177691263032</v>
      </c>
      <c r="J19">
        <f t="shared" si="6"/>
        <v>12.027301913633853</v>
      </c>
      <c r="K19">
        <f t="shared" si="6"/>
        <v>14.735592466107391</v>
      </c>
      <c r="L19">
        <f t="shared" si="6"/>
        <v>15.318296043591218</v>
      </c>
      <c r="M19">
        <f t="shared" si="6"/>
        <v>15.09355152213044</v>
      </c>
      <c r="N19">
        <f t="shared" si="6"/>
        <v>9.7968432577157856</v>
      </c>
      <c r="O19">
        <f t="shared" si="6"/>
        <v>14.160029628745555</v>
      </c>
      <c r="P19">
        <f t="shared" si="6"/>
        <v>11.812864793701092</v>
      </c>
      <c r="Q19">
        <f t="shared" si="6"/>
        <v>11.562895106729146</v>
      </c>
      <c r="R19">
        <f t="shared" si="6"/>
        <v>14.15220454595385</v>
      </c>
      <c r="S19">
        <f t="shared" si="6"/>
        <v>15.001939807201158</v>
      </c>
    </row>
    <row r="20" spans="1:19" x14ac:dyDescent="0.25">
      <c r="A20">
        <v>16</v>
      </c>
      <c r="B20">
        <f t="shared" ref="B20:S20" si="7">B6*B$12+B$13</f>
        <v>17.62612246682254</v>
      </c>
      <c r="C20">
        <f t="shared" si="7"/>
        <v>17.79915394113781</v>
      </c>
      <c r="D20">
        <f t="shared" si="7"/>
        <v>18.105506417138649</v>
      </c>
      <c r="E20">
        <f t="shared" si="7"/>
        <v>19.394330992217149</v>
      </c>
      <c r="F20">
        <f t="shared" si="7"/>
        <v>18.812658335926681</v>
      </c>
      <c r="G20">
        <f t="shared" si="7"/>
        <v>19.064481182662817</v>
      </c>
      <c r="H20">
        <f t="shared" si="7"/>
        <v>16.892454038674458</v>
      </c>
      <c r="I20">
        <f t="shared" si="7"/>
        <v>18.237582368760272</v>
      </c>
      <c r="J20">
        <f t="shared" si="7"/>
        <v>15.6585588519353</v>
      </c>
      <c r="K20">
        <f t="shared" si="7"/>
        <v>19.43164208810019</v>
      </c>
      <c r="L20">
        <f t="shared" si="7"/>
        <v>20.104174410416448</v>
      </c>
      <c r="M20">
        <f t="shared" si="7"/>
        <v>19.61126463304393</v>
      </c>
      <c r="N20">
        <f t="shared" si="7"/>
        <v>13.067372555908847</v>
      </c>
      <c r="O20">
        <f t="shared" si="7"/>
        <v>18.74085850582868</v>
      </c>
      <c r="P20">
        <f t="shared" si="7"/>
        <v>13.77899779320415</v>
      </c>
      <c r="Q20">
        <f t="shared" si="7"/>
        <v>15.492278240645373</v>
      </c>
      <c r="R20">
        <f t="shared" si="7"/>
        <v>18.664302925298799</v>
      </c>
      <c r="S20">
        <f t="shared" si="7"/>
        <v>19.144660625176382</v>
      </c>
    </row>
    <row r="21" spans="1:19" x14ac:dyDescent="0.25">
      <c r="A21">
        <v>20</v>
      </c>
      <c r="B21">
        <f t="shared" ref="B21:S21" si="8">B7*B$12+B$13</f>
        <v>23.123171044872993</v>
      </c>
      <c r="C21">
        <f t="shared" si="8"/>
        <v>23.496780709502929</v>
      </c>
      <c r="D21">
        <f t="shared" si="8"/>
        <v>23.159436243697463</v>
      </c>
      <c r="E21">
        <f t="shared" si="8"/>
        <v>24.044981859850324</v>
      </c>
      <c r="F21">
        <f t="shared" si="8"/>
        <v>24.628823648499715</v>
      </c>
      <c r="G21">
        <f t="shared" si="8"/>
        <v>24.384987027944447</v>
      </c>
      <c r="H21">
        <f t="shared" si="8"/>
        <v>22.15196911206462</v>
      </c>
      <c r="I21">
        <f t="shared" si="8"/>
        <v>23.408674086658579</v>
      </c>
      <c r="J21">
        <f t="shared" si="8"/>
        <v>21.615044137581183</v>
      </c>
      <c r="K21">
        <f t="shared" si="8"/>
        <v>25.200925079236271</v>
      </c>
      <c r="L21">
        <f t="shared" si="8"/>
        <v>25.152259437881654</v>
      </c>
      <c r="M21">
        <f t="shared" si="8"/>
        <v>24.700979082371035</v>
      </c>
      <c r="N21">
        <f t="shared" si="8"/>
        <v>16.894587324738438</v>
      </c>
      <c r="O21">
        <f t="shared" si="8"/>
        <v>23.700993742710228</v>
      </c>
      <c r="P21">
        <f t="shared" si="8"/>
        <v>15.148669321060416</v>
      </c>
      <c r="Q21">
        <f t="shared" si="8"/>
        <v>19.364887094111396</v>
      </c>
      <c r="R21">
        <f t="shared" si="8"/>
        <v>24.198547352143024</v>
      </c>
      <c r="S21">
        <f t="shared" si="8"/>
        <v>23.741235791318335</v>
      </c>
    </row>
    <row r="22" spans="1:19" x14ac:dyDescent="0.25">
      <c r="A22">
        <v>30</v>
      </c>
      <c r="B22">
        <f t="shared" ref="B22:S22" si="9">B8*B$12+B$13</f>
        <v>32.176251871557042</v>
      </c>
      <c r="C22">
        <f t="shared" si="9"/>
        <v>33.73860951519422</v>
      </c>
      <c r="D22">
        <f t="shared" si="9"/>
        <v>33.487435359013091</v>
      </c>
      <c r="E22">
        <f t="shared" si="9"/>
        <v>33.253572705628017</v>
      </c>
      <c r="F22">
        <f t="shared" si="9"/>
        <v>34.775512025343474</v>
      </c>
      <c r="G22">
        <f t="shared" si="9"/>
        <v>34.1689757876496</v>
      </c>
      <c r="H22">
        <f t="shared" si="9"/>
        <v>32.038074920420428</v>
      </c>
      <c r="I22">
        <f t="shared" si="9"/>
        <v>33.71429308657639</v>
      </c>
      <c r="J22">
        <f t="shared" si="9"/>
        <v>33.333799839220276</v>
      </c>
      <c r="K22">
        <f t="shared" si="9"/>
        <v>34.262311743778326</v>
      </c>
      <c r="L22">
        <f t="shared" si="9"/>
        <v>34.285094206375518</v>
      </c>
      <c r="M22">
        <f t="shared" si="9"/>
        <v>34.127526477032646</v>
      </c>
      <c r="N22">
        <f t="shared" si="9"/>
        <v>30.079092290859691</v>
      </c>
      <c r="O22">
        <f t="shared" si="9"/>
        <v>32.810517755250871</v>
      </c>
      <c r="P22">
        <f t="shared" si="9"/>
        <v>21.650280550313965</v>
      </c>
      <c r="Q22">
        <f t="shared" si="9"/>
        <v>28.720059475123538</v>
      </c>
      <c r="R22">
        <f t="shared" si="9"/>
        <v>33.93171825062403</v>
      </c>
      <c r="S22">
        <f t="shared" si="9"/>
        <v>34.205961701901558</v>
      </c>
    </row>
    <row r="23" spans="1:19" x14ac:dyDescent="0.25">
      <c r="A23">
        <v>40</v>
      </c>
      <c r="B23">
        <f t="shared" ref="B23:S23" si="10">B9*B$12+B$13</f>
        <v>42.479452988161938</v>
      </c>
      <c r="C23">
        <f t="shared" si="10"/>
        <v>41.197658755517622</v>
      </c>
      <c r="D23">
        <f t="shared" si="10"/>
        <v>41.916976066162562</v>
      </c>
      <c r="E23">
        <f t="shared" si="10"/>
        <v>40.972851605269042</v>
      </c>
      <c r="F23">
        <f t="shared" si="10"/>
        <v>41.649741758180809</v>
      </c>
      <c r="G23">
        <f t="shared" si="10"/>
        <v>41.246037762004889</v>
      </c>
      <c r="H23">
        <f t="shared" si="10"/>
        <v>42.004175436326165</v>
      </c>
      <c r="I23">
        <f t="shared" si="10"/>
        <v>41.272002452444795</v>
      </c>
      <c r="J23">
        <f t="shared" si="10"/>
        <v>42.683227929341101</v>
      </c>
      <c r="K23">
        <f t="shared" si="10"/>
        <v>40.766888691328575</v>
      </c>
      <c r="L23">
        <f t="shared" si="10"/>
        <v>40.692242710564031</v>
      </c>
      <c r="M23">
        <f t="shared" si="10"/>
        <v>41.030456088214265</v>
      </c>
      <c r="N23">
        <f t="shared" si="10"/>
        <v>43.313623104289931</v>
      </c>
      <c r="O23">
        <f t="shared" si="10"/>
        <v>41.636208314701278</v>
      </c>
      <c r="P23">
        <f t="shared" si="10"/>
        <v>38.453617492996173</v>
      </c>
      <c r="Q23">
        <f t="shared" si="10"/>
        <v>40.095031413741566</v>
      </c>
      <c r="R23">
        <f t="shared" si="10"/>
        <v>41.545617227326872</v>
      </c>
      <c r="S23">
        <f t="shared" si="10"/>
        <v>42.022161476161074</v>
      </c>
    </row>
    <row r="24" spans="1:19" x14ac:dyDescent="0.25">
      <c r="A24">
        <v>60</v>
      </c>
      <c r="B24">
        <f t="shared" ref="B24:S24" si="11">B10*B$12+B$13</f>
        <v>54.898164917850792</v>
      </c>
      <c r="C24">
        <f t="shared" si="11"/>
        <v>54.712364120192021</v>
      </c>
      <c r="D24">
        <f t="shared" si="11"/>
        <v>53.620321833325491</v>
      </c>
      <c r="E24">
        <f t="shared" si="11"/>
        <v>52.738831276329151</v>
      </c>
      <c r="F24">
        <f t="shared" si="11"/>
        <v>51.456975933835835</v>
      </c>
      <c r="G24">
        <f t="shared" si="11"/>
        <v>51.578299979675961</v>
      </c>
      <c r="H24">
        <f t="shared" si="11"/>
        <v>56.318701778340682</v>
      </c>
      <c r="I24">
        <f t="shared" si="11"/>
        <v>53.74860506313756</v>
      </c>
      <c r="J24">
        <f t="shared" si="11"/>
        <v>55.454044516455994</v>
      </c>
      <c r="K24">
        <f t="shared" si="11"/>
        <v>51.189119199893099</v>
      </c>
      <c r="L24">
        <f t="shared" si="11"/>
        <v>50.510032950437662</v>
      </c>
      <c r="M24">
        <f t="shared" si="11"/>
        <v>50.971333731545997</v>
      </c>
      <c r="N24">
        <f t="shared" si="11"/>
        <v>58.96910523787794</v>
      </c>
      <c r="O24">
        <f t="shared" si="11"/>
        <v>53.676588032044592</v>
      </c>
      <c r="P24">
        <f t="shared" si="11"/>
        <v>63.664429577113289</v>
      </c>
      <c r="Q24">
        <f t="shared" si="11"/>
        <v>60.924752842322533</v>
      </c>
      <c r="R24">
        <f t="shared" si="11"/>
        <v>52.36280286999353</v>
      </c>
      <c r="S24">
        <f t="shared" si="11"/>
        <v>50.962799802579909</v>
      </c>
    </row>
    <row r="26" spans="1:19" x14ac:dyDescent="0.25">
      <c r="A26">
        <v>0</v>
      </c>
      <c r="B26">
        <f t="shared" ref="B26:B34" si="12">ABS(B16-$A16)</f>
        <v>2.7888774256590256</v>
      </c>
      <c r="C26">
        <f t="shared" ref="C26:S26" si="13">ABS(C16-$A16)</f>
        <v>2.3329645035515858</v>
      </c>
      <c r="D26">
        <f t="shared" si="13"/>
        <v>4.3241393480076056</v>
      </c>
      <c r="E26">
        <f t="shared" si="13"/>
        <v>5.7985179275158814</v>
      </c>
      <c r="F26">
        <f t="shared" si="13"/>
        <v>4.6526867731819941</v>
      </c>
      <c r="G26">
        <f t="shared" si="13"/>
        <v>6.1555936823372122</v>
      </c>
      <c r="H26">
        <f t="shared" si="13"/>
        <v>1.4460680555788912</v>
      </c>
      <c r="I26">
        <f t="shared" si="13"/>
        <v>4.14036906906491</v>
      </c>
      <c r="J26">
        <f t="shared" si="13"/>
        <v>1.3432977255155194</v>
      </c>
      <c r="K26">
        <f t="shared" si="13"/>
        <v>6.0485631360974637</v>
      </c>
      <c r="L26">
        <f t="shared" si="13"/>
        <v>6.3846531743486423</v>
      </c>
      <c r="M26">
        <f t="shared" si="13"/>
        <v>6.3615519391927648</v>
      </c>
      <c r="N26">
        <f t="shared" si="13"/>
        <v>4.3126373546367844</v>
      </c>
      <c r="O26">
        <f t="shared" si="13"/>
        <v>4.1421358100199104</v>
      </c>
      <c r="P26">
        <f t="shared" si="13"/>
        <v>8.3740877567867447</v>
      </c>
      <c r="Q26">
        <f t="shared" si="13"/>
        <v>2.3596527328585193</v>
      </c>
      <c r="R26">
        <f t="shared" si="13"/>
        <v>4.9507552875824246</v>
      </c>
      <c r="S26">
        <f t="shared" si="13"/>
        <v>6.0068671574211301</v>
      </c>
    </row>
    <row r="27" spans="1:19" x14ac:dyDescent="0.25">
      <c r="A27">
        <v>4</v>
      </c>
      <c r="B27">
        <f t="shared" si="12"/>
        <v>1.3006049166682043</v>
      </c>
      <c r="C27">
        <f t="shared" ref="C27:S27" si="14">ABS(C17-$A17)</f>
        <v>1.6179072254756939</v>
      </c>
      <c r="D27">
        <f t="shared" si="14"/>
        <v>1.4441275894699999</v>
      </c>
      <c r="E27">
        <f t="shared" si="14"/>
        <v>1.7413545555076695</v>
      </c>
      <c r="F27">
        <f t="shared" si="14"/>
        <v>2.1603722235756528</v>
      </c>
      <c r="G27">
        <f t="shared" si="14"/>
        <v>1.413263539118546</v>
      </c>
      <c r="H27">
        <f t="shared" si="14"/>
        <v>1.0895057411044462</v>
      </c>
      <c r="I27">
        <f t="shared" si="14"/>
        <v>1.8136237840639851</v>
      </c>
      <c r="J27">
        <f t="shared" si="14"/>
        <v>1.1790060830372884</v>
      </c>
      <c r="K27">
        <f t="shared" si="14"/>
        <v>1.9043217165796875</v>
      </c>
      <c r="L27">
        <f t="shared" si="14"/>
        <v>2.206856087910964</v>
      </c>
      <c r="M27">
        <f t="shared" si="14"/>
        <v>1.9649377929387413</v>
      </c>
      <c r="N27">
        <f t="shared" si="14"/>
        <v>1.6595391436966338</v>
      </c>
      <c r="O27">
        <f t="shared" si="14"/>
        <v>2.0824437787363195</v>
      </c>
      <c r="P27">
        <f t="shared" si="14"/>
        <v>4.3737461437547669</v>
      </c>
      <c r="Q27">
        <f t="shared" si="14"/>
        <v>4.8006641923801219E-2</v>
      </c>
      <c r="R27">
        <f t="shared" si="14"/>
        <v>1.9015951210878939</v>
      </c>
      <c r="S27">
        <f t="shared" si="14"/>
        <v>1.7074598501442431</v>
      </c>
    </row>
    <row r="28" spans="1:19" x14ac:dyDescent="0.25">
      <c r="A28">
        <v>8</v>
      </c>
      <c r="B28">
        <f t="shared" si="12"/>
        <v>0.4668194475702645</v>
      </c>
      <c r="C28">
        <f t="shared" ref="C28:S28" si="15">ABS(C18-$A18)</f>
        <v>1.675247126644738</v>
      </c>
      <c r="D28">
        <f t="shared" si="15"/>
        <v>0.19607369509044759</v>
      </c>
      <c r="E28">
        <f t="shared" si="15"/>
        <v>0.58749758037143351</v>
      </c>
      <c r="F28">
        <f t="shared" si="15"/>
        <v>1.943575874620862E-2</v>
      </c>
      <c r="G28">
        <f t="shared" si="15"/>
        <v>0.71911542818180862</v>
      </c>
      <c r="H28">
        <f t="shared" si="15"/>
        <v>1.2376397585585721</v>
      </c>
      <c r="I28">
        <f t="shared" si="15"/>
        <v>0.39734189571183975</v>
      </c>
      <c r="J28">
        <f t="shared" si="15"/>
        <v>0.24967337961483693</v>
      </c>
      <c r="K28">
        <f t="shared" si="15"/>
        <v>0.36640558423324165</v>
      </c>
      <c r="L28">
        <f t="shared" si="15"/>
        <v>0.52940950299304745</v>
      </c>
      <c r="M28">
        <f t="shared" si="15"/>
        <v>0.79137819779315066</v>
      </c>
      <c r="N28">
        <f t="shared" si="15"/>
        <v>9.2800269723959161E-2</v>
      </c>
      <c r="O28">
        <f t="shared" si="15"/>
        <v>0.50061639052502116</v>
      </c>
      <c r="P28">
        <f t="shared" si="15"/>
        <v>0.74330657106940023</v>
      </c>
      <c r="Q28">
        <f t="shared" si="15"/>
        <v>0.47155026360827357</v>
      </c>
      <c r="R28">
        <f t="shared" si="15"/>
        <v>2.8427626696867492E-3</v>
      </c>
      <c r="S28">
        <f t="shared" si="15"/>
        <v>0.63556780322701556</v>
      </c>
    </row>
    <row r="29" spans="1:19" x14ac:dyDescent="0.25">
      <c r="A29">
        <v>12</v>
      </c>
      <c r="B29">
        <f t="shared" si="12"/>
        <v>0.25313850063218268</v>
      </c>
      <c r="C29">
        <f t="shared" ref="C29:S29" si="16">ABS(C19-$A19)</f>
        <v>0.68155181412741683</v>
      </c>
      <c r="D29">
        <f t="shared" si="16"/>
        <v>1.2825173230500013</v>
      </c>
      <c r="E29">
        <f t="shared" si="16"/>
        <v>2.5478064633582846</v>
      </c>
      <c r="F29">
        <f t="shared" si="16"/>
        <v>1.5087830537172842</v>
      </c>
      <c r="G29">
        <f t="shared" si="16"/>
        <v>2.4069600533361779</v>
      </c>
      <c r="H29">
        <f t="shared" si="16"/>
        <v>0.36783826941555731</v>
      </c>
      <c r="I29">
        <f t="shared" si="16"/>
        <v>1.9701776912630322</v>
      </c>
      <c r="J29">
        <f t="shared" si="16"/>
        <v>2.7301913633852593E-2</v>
      </c>
      <c r="K29">
        <f t="shared" si="16"/>
        <v>2.7355924661073914</v>
      </c>
      <c r="L29">
        <f t="shared" si="16"/>
        <v>3.3182960435912179</v>
      </c>
      <c r="M29">
        <f t="shared" si="16"/>
        <v>3.0935515221304399</v>
      </c>
      <c r="N29">
        <f t="shared" si="16"/>
        <v>2.2031567422842144</v>
      </c>
      <c r="O29">
        <f t="shared" si="16"/>
        <v>2.1600296287455549</v>
      </c>
      <c r="P29">
        <f t="shared" si="16"/>
        <v>0.18713520629890823</v>
      </c>
      <c r="Q29">
        <f t="shared" si="16"/>
        <v>0.43710489327085433</v>
      </c>
      <c r="R29">
        <f t="shared" si="16"/>
        <v>2.1522045459538504</v>
      </c>
      <c r="S29">
        <f t="shared" si="16"/>
        <v>3.0019398072011576</v>
      </c>
    </row>
    <row r="30" spans="1:19" x14ac:dyDescent="0.25">
      <c r="A30">
        <v>16</v>
      </c>
      <c r="B30">
        <f t="shared" si="12"/>
        <v>1.6261224668225402</v>
      </c>
      <c r="C30">
        <f t="shared" ref="C30:S30" si="17">ABS(C20-$A20)</f>
        <v>1.7991539411378099</v>
      </c>
      <c r="D30">
        <f t="shared" si="17"/>
        <v>2.1055064171386491</v>
      </c>
      <c r="E30">
        <f t="shared" si="17"/>
        <v>3.3943309922171494</v>
      </c>
      <c r="F30">
        <f t="shared" si="17"/>
        <v>2.812658335926681</v>
      </c>
      <c r="G30">
        <f t="shared" si="17"/>
        <v>3.0644811826628171</v>
      </c>
      <c r="H30">
        <f t="shared" si="17"/>
        <v>0.89245403867445816</v>
      </c>
      <c r="I30">
        <f t="shared" si="17"/>
        <v>2.2375823687602718</v>
      </c>
      <c r="J30">
        <f t="shared" si="17"/>
        <v>0.34144114806469972</v>
      </c>
      <c r="K30">
        <f t="shared" si="17"/>
        <v>3.4316420881001903</v>
      </c>
      <c r="L30">
        <f t="shared" si="17"/>
        <v>4.1041744104164479</v>
      </c>
      <c r="M30">
        <f t="shared" si="17"/>
        <v>3.6112646330439304</v>
      </c>
      <c r="N30">
        <f t="shared" si="17"/>
        <v>2.9326274440911533</v>
      </c>
      <c r="O30">
        <f t="shared" si="17"/>
        <v>2.7408585058286796</v>
      </c>
      <c r="P30">
        <f t="shared" si="17"/>
        <v>2.2210022067958501</v>
      </c>
      <c r="Q30">
        <f t="shared" si="17"/>
        <v>0.50772175935462727</v>
      </c>
      <c r="R30">
        <f t="shared" si="17"/>
        <v>2.6643029252987986</v>
      </c>
      <c r="S30">
        <f t="shared" si="17"/>
        <v>3.1446606251763818</v>
      </c>
    </row>
    <row r="31" spans="1:19" x14ac:dyDescent="0.25">
      <c r="A31">
        <v>20</v>
      </c>
      <c r="B31">
        <f t="shared" si="12"/>
        <v>3.1231710448729935</v>
      </c>
      <c r="C31">
        <f t="shared" ref="C31:S31" si="18">ABS(C21-$A21)</f>
        <v>3.4967807095029286</v>
      </c>
      <c r="D31">
        <f t="shared" si="18"/>
        <v>3.1594362436974635</v>
      </c>
      <c r="E31">
        <f t="shared" si="18"/>
        <v>4.0449818598503242</v>
      </c>
      <c r="F31">
        <f t="shared" si="18"/>
        <v>4.6288236484997149</v>
      </c>
      <c r="G31">
        <f t="shared" si="18"/>
        <v>4.3849870279444474</v>
      </c>
      <c r="H31">
        <f t="shared" si="18"/>
        <v>2.15196911206462</v>
      </c>
      <c r="I31">
        <f t="shared" si="18"/>
        <v>3.4086740866585785</v>
      </c>
      <c r="J31">
        <f t="shared" si="18"/>
        <v>1.615044137581183</v>
      </c>
      <c r="K31">
        <f t="shared" si="18"/>
        <v>5.2009250792362707</v>
      </c>
      <c r="L31">
        <f t="shared" si="18"/>
        <v>5.1522594378816535</v>
      </c>
      <c r="M31">
        <f t="shared" si="18"/>
        <v>4.7009790823710347</v>
      </c>
      <c r="N31">
        <f t="shared" si="18"/>
        <v>3.1054126752615616</v>
      </c>
      <c r="O31">
        <f t="shared" si="18"/>
        <v>3.700993742710228</v>
      </c>
      <c r="P31">
        <f t="shared" si="18"/>
        <v>4.8513306789395845</v>
      </c>
      <c r="Q31">
        <f t="shared" si="18"/>
        <v>0.63511290588860447</v>
      </c>
      <c r="R31">
        <f t="shared" si="18"/>
        <v>4.1985473521430237</v>
      </c>
      <c r="S31">
        <f t="shared" si="18"/>
        <v>3.7412357913183349</v>
      </c>
    </row>
    <row r="32" spans="1:19" x14ac:dyDescent="0.25">
      <c r="A32">
        <v>30</v>
      </c>
      <c r="B32">
        <f t="shared" si="12"/>
        <v>2.1762518715570423</v>
      </c>
      <c r="C32">
        <f t="shared" ref="C32:S32" si="19">ABS(C22-$A22)</f>
        <v>3.73860951519422</v>
      </c>
      <c r="D32">
        <f t="shared" si="19"/>
        <v>3.4874353590130909</v>
      </c>
      <c r="E32">
        <f t="shared" si="19"/>
        <v>3.2535727056280166</v>
      </c>
      <c r="F32">
        <f t="shared" si="19"/>
        <v>4.775512025343474</v>
      </c>
      <c r="G32">
        <f t="shared" si="19"/>
        <v>4.1689757876496003</v>
      </c>
      <c r="H32">
        <f t="shared" si="19"/>
        <v>2.0380749204204278</v>
      </c>
      <c r="I32">
        <f t="shared" si="19"/>
        <v>3.7142930865763901</v>
      </c>
      <c r="J32">
        <f t="shared" si="19"/>
        <v>3.3337998392202763</v>
      </c>
      <c r="K32">
        <f t="shared" si="19"/>
        <v>4.2623117437783264</v>
      </c>
      <c r="L32">
        <f t="shared" si="19"/>
        <v>4.2850942063755184</v>
      </c>
      <c r="M32">
        <f t="shared" si="19"/>
        <v>4.1275264770326459</v>
      </c>
      <c r="N32">
        <f t="shared" si="19"/>
        <v>7.9092290859691161E-2</v>
      </c>
      <c r="O32">
        <f t="shared" si="19"/>
        <v>2.8105177552508707</v>
      </c>
      <c r="P32">
        <f t="shared" si="19"/>
        <v>8.3497194496860345</v>
      </c>
      <c r="Q32">
        <f t="shared" si="19"/>
        <v>1.2799405248764621</v>
      </c>
      <c r="R32">
        <f t="shared" si="19"/>
        <v>3.93171825062403</v>
      </c>
      <c r="S32">
        <f t="shared" si="19"/>
        <v>4.2059617019015576</v>
      </c>
    </row>
    <row r="33" spans="1:19" x14ac:dyDescent="0.25">
      <c r="A33">
        <v>40</v>
      </c>
      <c r="B33">
        <f t="shared" si="12"/>
        <v>2.4794529881619383</v>
      </c>
      <c r="C33">
        <f t="shared" ref="C33:S33" si="20">ABS(C23-$A23)</f>
        <v>1.1976587555176224</v>
      </c>
      <c r="D33">
        <f t="shared" si="20"/>
        <v>1.9169760661625617</v>
      </c>
      <c r="E33">
        <f t="shared" si="20"/>
        <v>0.97285160526904235</v>
      </c>
      <c r="F33">
        <f t="shared" si="20"/>
        <v>1.6497417581808094</v>
      </c>
      <c r="G33">
        <f t="shared" si="20"/>
        <v>1.2460377620048888</v>
      </c>
      <c r="H33">
        <f t="shared" si="20"/>
        <v>2.0041754363261646</v>
      </c>
      <c r="I33">
        <f t="shared" si="20"/>
        <v>1.272002452444795</v>
      </c>
      <c r="J33">
        <f t="shared" si="20"/>
        <v>2.6832279293411005</v>
      </c>
      <c r="K33">
        <f t="shared" si="20"/>
        <v>0.76688869132857462</v>
      </c>
      <c r="L33">
        <f t="shared" si="20"/>
        <v>0.69224271056403097</v>
      </c>
      <c r="M33">
        <f t="shared" si="20"/>
        <v>1.0304560882142653</v>
      </c>
      <c r="N33">
        <f t="shared" si="20"/>
        <v>3.3136231042899311</v>
      </c>
      <c r="O33">
        <f t="shared" si="20"/>
        <v>1.6362083147012783</v>
      </c>
      <c r="P33">
        <f t="shared" si="20"/>
        <v>1.5463825070038268</v>
      </c>
      <c r="Q33">
        <f t="shared" si="20"/>
        <v>9.5031413741565984E-2</v>
      </c>
      <c r="R33">
        <f t="shared" si="20"/>
        <v>1.545617227326872</v>
      </c>
      <c r="S33">
        <f t="shared" si="20"/>
        <v>2.0221614761610738</v>
      </c>
    </row>
    <row r="34" spans="1:19" x14ac:dyDescent="0.25">
      <c r="A34">
        <v>60</v>
      </c>
      <c r="B34">
        <f t="shared" si="12"/>
        <v>5.1018350821492078</v>
      </c>
      <c r="C34">
        <f t="shared" ref="C34:S34" si="21">ABS(C24-$A24)</f>
        <v>5.2876358798079792</v>
      </c>
      <c r="D34">
        <f t="shared" si="21"/>
        <v>6.379678166674509</v>
      </c>
      <c r="E34">
        <f t="shared" si="21"/>
        <v>7.2611687236708491</v>
      </c>
      <c r="F34">
        <f t="shared" si="21"/>
        <v>8.5430240661641648</v>
      </c>
      <c r="G34">
        <f t="shared" si="21"/>
        <v>8.4217000203240389</v>
      </c>
      <c r="H34">
        <f t="shared" si="21"/>
        <v>3.6812982216593184</v>
      </c>
      <c r="I34">
        <f t="shared" si="21"/>
        <v>6.2513949368624395</v>
      </c>
      <c r="J34">
        <f t="shared" si="21"/>
        <v>4.5459554835440059</v>
      </c>
      <c r="K34">
        <f t="shared" si="21"/>
        <v>8.8108808001069008</v>
      </c>
      <c r="L34">
        <f t="shared" si="21"/>
        <v>9.4899670495623383</v>
      </c>
      <c r="M34">
        <f t="shared" si="21"/>
        <v>9.0286662684540033</v>
      </c>
      <c r="N34">
        <f t="shared" si="21"/>
        <v>1.0308947621220597</v>
      </c>
      <c r="O34">
        <f t="shared" si="21"/>
        <v>6.3234119679554084</v>
      </c>
      <c r="P34">
        <f t="shared" si="21"/>
        <v>3.6644295771132889</v>
      </c>
      <c r="Q34">
        <f t="shared" si="21"/>
        <v>0.9247528423225333</v>
      </c>
      <c r="R34">
        <f t="shared" si="21"/>
        <v>7.63719713000647</v>
      </c>
      <c r="S34">
        <f t="shared" si="21"/>
        <v>9.0372001974200913</v>
      </c>
    </row>
  </sheetData>
  <sortState xmlns:xlrd2="http://schemas.microsoft.com/office/spreadsheetml/2017/richdata2" ref="A2:S10">
    <sortCondition ref="A1:A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2693-ED9E-495F-8557-ADF18FC521E0}">
  <dimension ref="A1:S34"/>
  <sheetViews>
    <sheetView workbookViewId="0">
      <selection activeCell="B14" sqref="B14:S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f>AVERAGE('60 loading'!A2,'60 unloading'!A2)</f>
        <v>0</v>
      </c>
      <c r="B2">
        <f>AVERAGE('60 loading'!B2,'60 unloading'!B2)</f>
        <v>41.334030219172504</v>
      </c>
      <c r="C2">
        <f>AVERAGE('60 loading'!C2,'60 unloading'!C2)</f>
        <v>77.382727453610016</v>
      </c>
      <c r="D2">
        <f>AVERAGE('60 loading'!D2,'60 unloading'!D2)</f>
        <v>308.10356872700584</v>
      </c>
      <c r="E2">
        <f>AVERAGE('60 loading'!E2,'60 unloading'!E2)</f>
        <v>472.58060402925628</v>
      </c>
      <c r="F2">
        <f>AVERAGE('60 loading'!F2,'60 unloading'!F2)</f>
        <v>175.66074747443957</v>
      </c>
      <c r="G2">
        <f>AVERAGE('60 loading'!G2,'60 unloading'!G2)</f>
        <v>389.12963277512381</v>
      </c>
      <c r="H2">
        <f>AVERAGE('60 loading'!H2,'60 unloading'!H2)</f>
        <v>484.76703926424926</v>
      </c>
      <c r="I2">
        <f>AVERAGE('60 loading'!I2,'60 unloading'!I2)</f>
        <v>380.64194432718352</v>
      </c>
      <c r="J2">
        <f>AVERAGE('60 loading'!J2,'60 unloading'!J2)</f>
        <v>104.12172721266464</v>
      </c>
      <c r="K2">
        <f>AVERAGE('60 loading'!K2,'60 unloading'!K2)</f>
        <v>268.67839717047428</v>
      </c>
      <c r="L2">
        <f>AVERAGE('60 loading'!L2,'60 unloading'!L2)</f>
        <v>607.76981490210039</v>
      </c>
      <c r="M2">
        <f>AVERAGE('60 loading'!M2,'60 unloading'!M2)</f>
        <v>300.41714600185082</v>
      </c>
      <c r="N2">
        <f>AVERAGE('60 loading'!N2,'60 unloading'!N2)</f>
        <v>504.34620137935019</v>
      </c>
      <c r="O2">
        <f>AVERAGE('60 loading'!O2,'60 unloading'!O2)</f>
        <v>154.93839524282424</v>
      </c>
      <c r="P2">
        <f>AVERAGE('60 loading'!P2,'60 unloading'!P2)</f>
        <v>2.9849733862664842</v>
      </c>
      <c r="Q2">
        <f>AVERAGE('60 loading'!Q2,'60 unloading'!Q2)</f>
        <v>23.272850663540222</v>
      </c>
      <c r="R2">
        <f>AVERAGE('60 loading'!R2,'60 unloading'!R2)</f>
        <v>601.88705630408003</v>
      </c>
      <c r="S2">
        <f>AVERAGE('60 loading'!S2,'60 unloading'!S2)</f>
        <v>214.27479988696587</v>
      </c>
    </row>
    <row r="3" spans="1:19" x14ac:dyDescent="0.25">
      <c r="A3">
        <f>AVERAGE('60 loading'!A3,'60 unloading'!A3)</f>
        <v>4</v>
      </c>
      <c r="B3">
        <f>AVERAGE('60 loading'!B3,'60 unloading'!B3)</f>
        <v>73.353604704488049</v>
      </c>
      <c r="C3">
        <f>AVERAGE('60 loading'!C3,'60 unloading'!C3)</f>
        <v>110.12389121272304</v>
      </c>
      <c r="D3">
        <f>AVERAGE('60 loading'!D3,'60 unloading'!D3)</f>
        <v>351.72791795596311</v>
      </c>
      <c r="E3">
        <f>AVERAGE('60 loading'!E3,'60 unloading'!E3)</f>
        <v>517.86091951127639</v>
      </c>
      <c r="F3">
        <f>AVERAGE('60 loading'!F3,'60 unloading'!F3)</f>
        <v>210.61872985995609</v>
      </c>
      <c r="G3">
        <f>AVERAGE('60 loading'!G3,'60 unloading'!G3)</f>
        <v>431.50979263804163</v>
      </c>
      <c r="H3">
        <f>AVERAGE('60 loading'!H3,'60 unloading'!H3)</f>
        <v>508.25487750012149</v>
      </c>
      <c r="I3">
        <f>AVERAGE('60 loading'!I3,'60 unloading'!I3)</f>
        <v>420.22094538403019</v>
      </c>
      <c r="J3">
        <f>AVERAGE('60 loading'!J3,'60 unloading'!J3)</f>
        <v>134.99504069498931</v>
      </c>
      <c r="K3">
        <f>AVERAGE('60 loading'!K3,'60 unloading'!K3)</f>
        <v>321.7289301607301</v>
      </c>
      <c r="L3">
        <f>AVERAGE('60 loading'!L3,'60 unloading'!L3)</f>
        <v>649.98656348659244</v>
      </c>
      <c r="M3">
        <f>AVERAGE('60 loading'!M3,'60 unloading'!M3)</f>
        <v>329.82502126994996</v>
      </c>
      <c r="N3">
        <f>AVERAGE('60 loading'!N3,'60 unloading'!N3)</f>
        <v>516.99308513886047</v>
      </c>
      <c r="O3">
        <f>AVERAGE('60 loading'!O3,'60 unloading'!O3)</f>
        <v>210.92059709365205</v>
      </c>
      <c r="P3">
        <f>AVERAGE('60 loading'!P3,'60 unloading'!P3)</f>
        <v>2.9851904738354342</v>
      </c>
      <c r="Q3">
        <f>AVERAGE('60 loading'!Q3,'60 unloading'!Q3)</f>
        <v>34.332979401814079</v>
      </c>
      <c r="R3">
        <f>AVERAGE('60 loading'!R3,'60 unloading'!R3)</f>
        <v>640.48610588483996</v>
      </c>
      <c r="S3">
        <f>AVERAGE('60 loading'!S3,'60 unloading'!S3)</f>
        <v>273.26697742018013</v>
      </c>
    </row>
    <row r="4" spans="1:19" x14ac:dyDescent="0.25">
      <c r="A4">
        <f>AVERAGE('60 loading'!A4,'60 unloading'!A4)</f>
        <v>8</v>
      </c>
      <c r="B4">
        <f>AVERAGE('60 loading'!B4,'60 unloading'!B4)</f>
        <v>102.97831578963478</v>
      </c>
      <c r="C4">
        <f>AVERAGE('60 loading'!C4,'60 unloading'!C4)</f>
        <v>142.74202226026478</v>
      </c>
      <c r="D4">
        <f>AVERAGE('60 loading'!D4,'60 unloading'!D4)</f>
        <v>390.17242957188506</v>
      </c>
      <c r="E4">
        <f>AVERAGE('60 loading'!E4,'60 unloading'!E4)</f>
        <v>557.97245003402168</v>
      </c>
      <c r="F4">
        <f>AVERAGE('60 loading'!F4,'60 unloading'!F4)</f>
        <v>247.18331287771286</v>
      </c>
      <c r="G4">
        <f>AVERAGE('60 loading'!G4,'60 unloading'!G4)</f>
        <v>465.4121639172717</v>
      </c>
      <c r="H4">
        <f>AVERAGE('60 loading'!H4,'60 unloading'!H4)</f>
        <v>530.20062877483747</v>
      </c>
      <c r="I4">
        <f>AVERAGE('60 loading'!I4,'60 unloading'!I4)</f>
        <v>454.1684686874994</v>
      </c>
      <c r="J4">
        <f>AVERAGE('60 loading'!J4,'60 unloading'!J4)</f>
        <v>167.83568925022772</v>
      </c>
      <c r="K4">
        <f>AVERAGE('60 loading'!K4,'60 unloading'!K4)</f>
        <v>366.15974199535833</v>
      </c>
      <c r="L4">
        <f>AVERAGE('60 loading'!L4,'60 unloading'!L4)</f>
        <v>688.07459196650564</v>
      </c>
      <c r="M4">
        <f>AVERAGE('60 loading'!M4,'60 unloading'!M4)</f>
        <v>356.20888510301529</v>
      </c>
      <c r="N4">
        <f>AVERAGE('60 loading'!N4,'60 unloading'!N4)</f>
        <v>531.48120913888852</v>
      </c>
      <c r="O4">
        <f>AVERAGE('60 loading'!O4,'60 unloading'!O4)</f>
        <v>261.22593636110673</v>
      </c>
      <c r="P4">
        <f>AVERAGE('60 loading'!P4,'60 unloading'!P4)</f>
        <v>3.3562906743514911</v>
      </c>
      <c r="Q4">
        <f>AVERAGE('60 loading'!Q4,'60 unloading'!Q4)</f>
        <v>53.653522060472945</v>
      </c>
      <c r="R4">
        <f>AVERAGE('60 loading'!R4,'60 unloading'!R4)</f>
        <v>675.85961133246167</v>
      </c>
      <c r="S4">
        <f>AVERAGE('60 loading'!S4,'60 unloading'!S4)</f>
        <v>322.64232460848871</v>
      </c>
    </row>
    <row r="5" spans="1:19" x14ac:dyDescent="0.25">
      <c r="A5">
        <f>AVERAGE('60 loading'!A5,'60 unloading'!A5)</f>
        <v>12</v>
      </c>
      <c r="B5">
        <f>AVERAGE('60 loading'!B5,'60 unloading'!B5)</f>
        <v>133.33047383240515</v>
      </c>
      <c r="C5">
        <f>AVERAGE('60 loading'!C5,'60 unloading'!C5)</f>
        <v>188.02943347840403</v>
      </c>
      <c r="D5">
        <f>AVERAGE('60 loading'!D5,'60 unloading'!D5)</f>
        <v>426.20028584990098</v>
      </c>
      <c r="E5">
        <f>AVERAGE('60 loading'!E5,'60 unloading'!E5)</f>
        <v>599.71808002502053</v>
      </c>
      <c r="F5">
        <f>AVERAGE('60 loading'!F5,'60 unloading'!F5)</f>
        <v>281.58325812331248</v>
      </c>
      <c r="G5">
        <f>AVERAGE('60 loading'!G5,'60 unloading'!G5)</f>
        <v>498.79270660636053</v>
      </c>
      <c r="H5">
        <f>AVERAGE('60 loading'!H5,'60 unloading'!H5)</f>
        <v>563.92848329921901</v>
      </c>
      <c r="I5">
        <f>AVERAGE('60 loading'!I5,'60 unloading'!I5)</f>
        <v>497.05533036899647</v>
      </c>
      <c r="J5">
        <f>AVERAGE('60 loading'!J5,'60 unloading'!J5)</f>
        <v>196.71119041972091</v>
      </c>
      <c r="K5">
        <f>AVERAGE('60 loading'!K5,'60 unloading'!K5)</f>
        <v>412.26697619568574</v>
      </c>
      <c r="L5">
        <f>AVERAGE('60 loading'!L5,'60 unloading'!L5)</f>
        <v>726.86770388396326</v>
      </c>
      <c r="M5">
        <f>AVERAGE('60 loading'!M5,'60 unloading'!M5)</f>
        <v>382.68070964344844</v>
      </c>
      <c r="N5">
        <f>AVERAGE('60 loading'!N5,'60 unloading'!N5)</f>
        <v>547.4918605522098</v>
      </c>
      <c r="O5">
        <f>AVERAGE('60 loading'!O5,'60 unloading'!O5)</f>
        <v>319.61280505019528</v>
      </c>
      <c r="P5">
        <f>AVERAGE('60 loading'!P5,'60 unloading'!P5)</f>
        <v>6.6797358904605417</v>
      </c>
      <c r="Q5">
        <f>AVERAGE('60 loading'!Q5,'60 unloading'!Q5)</f>
        <v>75.757796861800912</v>
      </c>
      <c r="R5">
        <f>AVERAGE('60 loading'!R5,'60 unloading'!R5)</f>
        <v>712.9543406228056</v>
      </c>
      <c r="S5">
        <f>AVERAGE('60 loading'!S5,'60 unloading'!S5)</f>
        <v>373.00272927241019</v>
      </c>
    </row>
    <row r="6" spans="1:19" x14ac:dyDescent="0.25">
      <c r="A6">
        <f>AVERAGE('60 loading'!A6,'60 unloading'!A6)</f>
        <v>16</v>
      </c>
      <c r="B6">
        <f>AVERAGE('60 loading'!B6,'60 unloading'!B6)</f>
        <v>168.10216062775649</v>
      </c>
      <c r="C6">
        <f>AVERAGE('60 loading'!C6,'60 unloading'!C6)</f>
        <v>228.40992411436463</v>
      </c>
      <c r="D6">
        <f>AVERAGE('60 loading'!D6,'60 unloading'!D6)</f>
        <v>465.70957445992542</v>
      </c>
      <c r="E6">
        <f>AVERAGE('60 loading'!E6,'60 unloading'!E6)</f>
        <v>639.12800011940294</v>
      </c>
      <c r="F6">
        <f>AVERAGE('60 loading'!F6,'60 unloading'!F6)</f>
        <v>317.91380518069127</v>
      </c>
      <c r="G6">
        <f>AVERAGE('60 loading'!G6,'60 unloading'!G6)</f>
        <v>528.52596701035873</v>
      </c>
      <c r="H6">
        <f>AVERAGE('60 loading'!H6,'60 unloading'!H6)</f>
        <v>594.0004278219651</v>
      </c>
      <c r="I6">
        <f>AVERAGE('60 loading'!I6,'60 unloading'!I6)</f>
        <v>529.82331511081293</v>
      </c>
      <c r="J6">
        <f>AVERAGE('60 loading'!J6,'60 unloading'!J6)</f>
        <v>223.28573800227446</v>
      </c>
      <c r="K6">
        <f>AVERAGE('60 loading'!K6,'60 unloading'!K6)</f>
        <v>453.73347342488046</v>
      </c>
      <c r="L6">
        <f>AVERAGE('60 loading'!L6,'60 unloading'!L6)</f>
        <v>761.85890227127879</v>
      </c>
      <c r="M6">
        <f>AVERAGE('60 loading'!M6,'60 unloading'!M6)</f>
        <v>406.09715221124014</v>
      </c>
      <c r="N6">
        <f>AVERAGE('60 loading'!N6,'60 unloading'!N6)</f>
        <v>576.21618155831857</v>
      </c>
      <c r="O6">
        <f>AVERAGE('60 loading'!O6,'60 unloading'!O6)</f>
        <v>369.60789750394633</v>
      </c>
      <c r="P6">
        <f>AVERAGE('60 loading'!P6,'60 unloading'!P6)</f>
        <v>11.540929987501165</v>
      </c>
      <c r="Q6">
        <f>AVERAGE('60 loading'!Q6,'60 unloading'!Q6)</f>
        <v>100.87394356099509</v>
      </c>
      <c r="R6">
        <f>AVERAGE('60 loading'!R6,'60 unloading'!R6)</f>
        <v>745.26224509621011</v>
      </c>
      <c r="S6">
        <f>AVERAGE('60 loading'!S6,'60 unloading'!S6)</f>
        <v>412.74326209711887</v>
      </c>
    </row>
    <row r="7" spans="1:19" x14ac:dyDescent="0.25">
      <c r="A7">
        <f>AVERAGE('60 loading'!A7,'60 unloading'!A7)</f>
        <v>20</v>
      </c>
      <c r="B7">
        <f>AVERAGE('60 loading'!B7,'60 unloading'!B7)</f>
        <v>203.19458379166352</v>
      </c>
      <c r="C7">
        <f>AVERAGE('60 loading'!C7,'60 unloading'!C7)</f>
        <v>271.11666165272811</v>
      </c>
      <c r="D7">
        <f>AVERAGE('60 loading'!D7,'60 unloading'!D7)</f>
        <v>505.34202560699418</v>
      </c>
      <c r="E7">
        <f>AVERAGE('60 loading'!E7,'60 unloading'!E7)</f>
        <v>676.89300666353131</v>
      </c>
      <c r="F7">
        <f>AVERAGE('60 loading'!F7,'60 unloading'!F7)</f>
        <v>353.93121572077109</v>
      </c>
      <c r="G7">
        <f>AVERAGE('60 loading'!G7,'60 unloading'!G7)</f>
        <v>562.32161138090203</v>
      </c>
      <c r="H7">
        <f>AVERAGE('60 loading'!H7,'60 unloading'!H7)</f>
        <v>624.78480558282422</v>
      </c>
      <c r="I7">
        <f>AVERAGE('60 loading'!I7,'60 unloading'!I7)</f>
        <v>565.14989810677412</v>
      </c>
      <c r="J7">
        <f>AVERAGE('60 loading'!J7,'60 unloading'!J7)</f>
        <v>261.4647608152145</v>
      </c>
      <c r="K7">
        <f>AVERAGE('60 loading'!K7,'60 unloading'!K7)</f>
        <v>495.47518966723004</v>
      </c>
      <c r="L7">
        <f>AVERAGE('60 loading'!L7,'60 unloading'!L7)</f>
        <v>794.58511978919853</v>
      </c>
      <c r="M7">
        <f>AVERAGE('60 loading'!M7,'60 unloading'!M7)</f>
        <v>428.45865225562329</v>
      </c>
      <c r="N7">
        <f>AVERAGE('60 loading'!N7,'60 unloading'!N7)</f>
        <v>605.88881682049259</v>
      </c>
      <c r="O7">
        <f>AVERAGE('60 loading'!O7,'60 unloading'!O7)</f>
        <v>419.75649684500718</v>
      </c>
      <c r="P7">
        <f>AVERAGE('60 loading'!P7,'60 unloading'!P7)</f>
        <v>15.206913123048016</v>
      </c>
      <c r="Q7">
        <f>AVERAGE('60 loading'!Q7,'60 unloading'!Q7)</f>
        <v>122.85466512733498</v>
      </c>
      <c r="R7">
        <f>AVERAGE('60 loading'!R7,'60 unloading'!R7)</f>
        <v>781.95756733766302</v>
      </c>
      <c r="S7">
        <f>AVERAGE('60 loading'!S7,'60 unloading'!S7)</f>
        <v>451.48444733663439</v>
      </c>
    </row>
    <row r="8" spans="1:19" x14ac:dyDescent="0.25">
      <c r="A8">
        <f>AVERAGE('60 loading'!A8,'60 unloading'!A8)</f>
        <v>30</v>
      </c>
      <c r="B8">
        <f>AVERAGE('60 loading'!B8,'60 unloading'!B8)</f>
        <v>267.99668980472632</v>
      </c>
      <c r="C8">
        <f>AVERAGE('60 loading'!C8,'60 unloading'!C8)</f>
        <v>357.66980200377509</v>
      </c>
      <c r="D8">
        <f>AVERAGE('60 loading'!D8,'60 unloading'!D8)</f>
        <v>586.5064540110086</v>
      </c>
      <c r="E8">
        <f>AVERAGE('60 loading'!E8,'60 unloading'!E8)</f>
        <v>755.64943803666165</v>
      </c>
      <c r="F8">
        <f>AVERAGE('60 loading'!F8,'60 unloading'!F8)</f>
        <v>431.5709496709938</v>
      </c>
      <c r="G8">
        <f>AVERAGE('60 loading'!G8,'60 unloading'!G8)</f>
        <v>632.06207443542348</v>
      </c>
      <c r="H8">
        <f>AVERAGE('60 loading'!H8,'60 unloading'!H8)</f>
        <v>686.78452356292837</v>
      </c>
      <c r="I8">
        <f>AVERAGE('60 loading'!I8,'60 unloading'!I8)</f>
        <v>645.96666202937536</v>
      </c>
      <c r="J8">
        <f>AVERAGE('60 loading'!J8,'60 unloading'!J8)</f>
        <v>349.18004972506122</v>
      </c>
      <c r="K8">
        <f>AVERAGE('60 loading'!K8,'60 unloading'!K8)</f>
        <v>579.82539978482532</v>
      </c>
      <c r="L8">
        <f>AVERAGE('60 loading'!L8,'60 unloading'!L8)</f>
        <v>865.6343716036456</v>
      </c>
      <c r="M8">
        <f>AVERAGE('60 loading'!M8,'60 unloading'!M8)</f>
        <v>479.01301168401733</v>
      </c>
      <c r="N8">
        <f>AVERAGE('60 loading'!N8,'60 unloading'!N8)</f>
        <v>711.78267509082502</v>
      </c>
      <c r="O8">
        <f>AVERAGE('60 loading'!O8,'60 unloading'!O8)</f>
        <v>521.7933223170246</v>
      </c>
      <c r="P8">
        <f>AVERAGE('60 loading'!P8,'60 unloading'!P8)</f>
        <v>26.422023752698063</v>
      </c>
      <c r="Q8">
        <f>AVERAGE('60 loading'!Q8,'60 unloading'!Q8)</f>
        <v>177.60602047349212</v>
      </c>
      <c r="R8">
        <f>AVERAGE('60 loading'!R8,'60 unloading'!R8)</f>
        <v>860.08801264957106</v>
      </c>
      <c r="S8">
        <f>AVERAGE('60 loading'!S8,'60 unloading'!S8)</f>
        <v>548.02724106085464</v>
      </c>
    </row>
    <row r="9" spans="1:19" x14ac:dyDescent="0.25">
      <c r="A9">
        <f>AVERAGE('60 loading'!A9,'60 unloading'!A9)</f>
        <v>40</v>
      </c>
      <c r="B9">
        <f>AVERAGE('60 loading'!B9,'60 unloading'!B9)</f>
        <v>341.61957566026712</v>
      </c>
      <c r="C9">
        <f>AVERAGE('60 loading'!C9,'60 unloading'!C9)</f>
        <v>425.74935853539603</v>
      </c>
      <c r="D9">
        <f>AVERAGE('60 loading'!D9,'60 unloading'!D9)</f>
        <v>656.25430027572111</v>
      </c>
      <c r="E9">
        <f>AVERAGE('60 loading'!E9,'60 unloading'!E9)</f>
        <v>825.78560908052577</v>
      </c>
      <c r="F9">
        <f>AVERAGE('60 loading'!F9,'60 unloading'!F9)</f>
        <v>488.32564047169876</v>
      </c>
      <c r="G9">
        <f>AVERAGE('60 loading'!G9,'60 unloading'!G9)</f>
        <v>682.86048224309093</v>
      </c>
      <c r="H9">
        <f>AVERAGE('60 loading'!H9,'60 unloading'!H9)</f>
        <v>757.32168673283695</v>
      </c>
      <c r="I9">
        <f>AVERAGE('60 loading'!I9,'60 unloading'!I9)</f>
        <v>712.44565152063637</v>
      </c>
      <c r="J9">
        <f>AVERAGE('60 loading'!J9,'60 unloading'!J9)</f>
        <v>424.93653445912412</v>
      </c>
      <c r="K9">
        <f>AVERAGE('60 loading'!K9,'60 unloading'!K9)</f>
        <v>641.60071972803166</v>
      </c>
      <c r="L9">
        <f>AVERAGE('60 loading'!L9,'60 unloading'!L9)</f>
        <v>917.86828321978101</v>
      </c>
      <c r="M9">
        <f>AVERAGE('60 loading'!M9,'60 unloading'!M9)</f>
        <v>519.67518557042285</v>
      </c>
      <c r="N9">
        <f>AVERAGE('60 loading'!N9,'60 unloading'!N9)</f>
        <v>827.4640178068172</v>
      </c>
      <c r="O9">
        <f>AVERAGE('60 loading'!O9,'60 unloading'!O9)</f>
        <v>615.1722293774103</v>
      </c>
      <c r="P9">
        <f>AVERAGE('60 loading'!P9,'60 unloading'!P9)</f>
        <v>56.268550926423345</v>
      </c>
      <c r="Q9">
        <f>AVERAGE('60 loading'!Q9,'60 unloading'!Q9)</f>
        <v>244.8553782557932</v>
      </c>
      <c r="R9">
        <f>AVERAGE('60 loading'!R9,'60 unloading'!R9)</f>
        <v>919.73697953119631</v>
      </c>
      <c r="S9">
        <f>AVERAGE('60 loading'!S9,'60 unloading'!S9)</f>
        <v>630.84979627914959</v>
      </c>
    </row>
    <row r="10" spans="1:19" x14ac:dyDescent="0.25">
      <c r="A10">
        <f>AVERAGE('60 loading'!A10,'60 unloading'!A10)</f>
        <v>60</v>
      </c>
      <c r="B10">
        <f>AVERAGE('60 loading'!B10,'60 unloading'!B10)</f>
        <v>454.29966870697785</v>
      </c>
      <c r="C10">
        <f>AVERAGE('60 loading'!C10,'60 unloading'!C10)</f>
        <v>556.5125711229706</v>
      </c>
      <c r="D10">
        <f>AVERAGE('60 loading'!D10,'60 unloading'!D10)</f>
        <v>774.6076685447307</v>
      </c>
      <c r="E10">
        <f>AVERAGE('60 loading'!E10,'60 unloading'!E10)</f>
        <v>947.2756009539188</v>
      </c>
      <c r="F10">
        <f>AVERAGE('60 loading'!F10,'60 unloading'!F10)</f>
        <v>580.72622598347277</v>
      </c>
      <c r="G10">
        <f>AVERAGE('60 loading'!G10,'60 unloading'!G10)</f>
        <v>773.41280234999329</v>
      </c>
      <c r="H10">
        <f>AVERAGE('60 loading'!H10,'60 unloading'!H10)</f>
        <v>865.35052394827039</v>
      </c>
      <c r="I10">
        <f>AVERAGE('60 loading'!I10,'60 unloading'!I10)</f>
        <v>828.67375923317024</v>
      </c>
      <c r="J10">
        <f>AVERAGE('60 loading'!J10,'60 unloading'!J10)</f>
        <v>544.8572427281448</v>
      </c>
      <c r="K10">
        <f>AVERAGE('60 loading'!K10,'60 unloading'!K10)</f>
        <v>753.32076920187694</v>
      </c>
      <c r="L10">
        <f>AVERAGE('60 loading'!L10,'60 unloading'!L10)</f>
        <v>1005.0189557665368</v>
      </c>
      <c r="M10">
        <f>AVERAGE('60 loading'!M10,'60 unloading'!M10)</f>
        <v>582.26087051411093</v>
      </c>
      <c r="N10">
        <f>AVERAGE('60 loading'!N10,'60 unloading'!N10)</f>
        <v>994.27704253607772</v>
      </c>
      <c r="O10">
        <f>AVERAGE('60 loading'!O10,'60 unloading'!O10)</f>
        <v>778.46612657760818</v>
      </c>
      <c r="P10">
        <f>AVERAGE('60 loading'!P10,'60 unloading'!P10)</f>
        <v>107.1022081884981</v>
      </c>
      <c r="Q10">
        <f>AVERAGE('60 loading'!Q10,'60 unloading'!Q10)</f>
        <v>384.65613897902784</v>
      </c>
      <c r="R10">
        <f>AVERAGE('60 loading'!R10,'60 unloading'!R10)</f>
        <v>1021.0568846574098</v>
      </c>
      <c r="S10">
        <f>AVERAGE('60 loading'!S10,'60 unloading'!S10)</f>
        <v>746.94819028586096</v>
      </c>
    </row>
    <row r="12" spans="1:19" x14ac:dyDescent="0.25">
      <c r="B12">
        <f t="shared" ref="B12:S12" si="0">SLOPE($A2:$A10,B2:B10)</f>
        <v>0.14250842713127768</v>
      </c>
      <c r="C12">
        <f t="shared" si="0"/>
        <v>0.12100075251240201</v>
      </c>
      <c r="D12">
        <f t="shared" si="0"/>
        <v>0.12599184547542447</v>
      </c>
      <c r="E12">
        <f t="shared" si="0"/>
        <v>0.12446604921205177</v>
      </c>
      <c r="F12">
        <f t="shared" si="0"/>
        <v>0.14171442005143561</v>
      </c>
      <c r="G12">
        <f t="shared" si="0"/>
        <v>0.15268544970551562</v>
      </c>
      <c r="H12">
        <f t="shared" si="0"/>
        <v>0.15319848102080044</v>
      </c>
      <c r="I12">
        <f t="shared" si="0"/>
        <v>0.13116909473573635</v>
      </c>
      <c r="J12">
        <f t="shared" si="0"/>
        <v>0.1320203357008593</v>
      </c>
      <c r="K12">
        <f t="shared" si="0"/>
        <v>0.1204972237990827</v>
      </c>
      <c r="L12">
        <f t="shared" si="0"/>
        <v>0.14585723133972253</v>
      </c>
      <c r="M12">
        <f t="shared" si="0"/>
        <v>0.20651766726467763</v>
      </c>
      <c r="N12">
        <f t="shared" si="0"/>
        <v>0.11379939247160301</v>
      </c>
      <c r="O12">
        <f t="shared" si="0"/>
        <v>9.4701198180666121E-2</v>
      </c>
      <c r="P12">
        <f t="shared" si="0"/>
        <v>0.52925218888643832</v>
      </c>
      <c r="Q12">
        <f t="shared" si="0"/>
        <v>0.16358585447191584</v>
      </c>
      <c r="R12">
        <f t="shared" si="0"/>
        <v>0.1388890518665159</v>
      </c>
      <c r="S12">
        <f t="shared" si="0"/>
        <v>0.10990129293188222</v>
      </c>
    </row>
    <row r="13" spans="1:19" x14ac:dyDescent="0.25">
      <c r="B13">
        <f t="shared" ref="B13:S13" si="1">INTERCEPT($A2:$A10,B2:B10)</f>
        <v>-7.1722055350707876</v>
      </c>
      <c r="C13">
        <f t="shared" si="1"/>
        <v>-10.587541959757573</v>
      </c>
      <c r="D13">
        <f t="shared" si="1"/>
        <v>-41.389582829159096</v>
      </c>
      <c r="E13">
        <f t="shared" si="1"/>
        <v>-61.767563250834087</v>
      </c>
      <c r="F13">
        <f t="shared" si="1"/>
        <v>-27.505026629442117</v>
      </c>
      <c r="G13">
        <f t="shared" si="1"/>
        <v>-63.103858941719309</v>
      </c>
      <c r="H13">
        <f t="shared" si="1"/>
        <v>-74.474408599632</v>
      </c>
      <c r="I13">
        <f t="shared" si="1"/>
        <v>-52.258263364214713</v>
      </c>
      <c r="J13">
        <f t="shared" si="1"/>
        <v>-14.202685377584121</v>
      </c>
      <c r="K13">
        <f t="shared" si="1"/>
        <v>-36.363247647970866</v>
      </c>
      <c r="L13">
        <f t="shared" si="1"/>
        <v>-92.61967625272338</v>
      </c>
      <c r="M13">
        <f t="shared" si="1"/>
        <v>-65.732703238945632</v>
      </c>
      <c r="N13">
        <f t="shared" si="1"/>
        <v>-52.427840299457543</v>
      </c>
      <c r="O13">
        <f t="shared" si="1"/>
        <v>-17.311204290267138</v>
      </c>
      <c r="P13">
        <f t="shared" si="1"/>
        <v>7.436009822232867</v>
      </c>
      <c r="Q13">
        <f t="shared" si="1"/>
        <v>-1.0250230894910324</v>
      </c>
      <c r="R13">
        <f t="shared" si="1"/>
        <v>-86.285447063526789</v>
      </c>
      <c r="S13">
        <f t="shared" si="1"/>
        <v>-27.407131962087806</v>
      </c>
    </row>
    <row r="14" spans="1:19" x14ac:dyDescent="0.25">
      <c r="B14">
        <f>MAX(B26:B36)/MAX($A:$A)</f>
        <v>4.051123835631406E-2</v>
      </c>
      <c r="C14">
        <f t="shared" ref="C14:S14" si="2">MAX(C26:C36)/MAX($A:$A)</f>
        <v>5.4151701187774633E-2</v>
      </c>
      <c r="D14">
        <f t="shared" si="2"/>
        <v>6.3255552496542813E-2</v>
      </c>
      <c r="E14">
        <f t="shared" si="2"/>
        <v>6.4398528085461967E-2</v>
      </c>
      <c r="F14">
        <f t="shared" si="2"/>
        <v>8.6795771758922058E-2</v>
      </c>
      <c r="G14">
        <f t="shared" si="2"/>
        <v>8.3582956781791992E-2</v>
      </c>
      <c r="H14">
        <f t="shared" si="2"/>
        <v>3.1733713003386302E-2</v>
      </c>
      <c r="I14">
        <f t="shared" si="2"/>
        <v>5.9364608905670482E-2</v>
      </c>
      <c r="J14">
        <f t="shared" si="2"/>
        <v>3.7840821392831001E-2</v>
      </c>
      <c r="K14">
        <f t="shared" si="2"/>
        <v>9.316977214925283E-2</v>
      </c>
      <c r="L14">
        <f t="shared" si="2"/>
        <v>0.10050656534462069</v>
      </c>
      <c r="M14">
        <f t="shared" si="2"/>
        <v>9.1425775347848764E-2</v>
      </c>
      <c r="N14">
        <f t="shared" si="2"/>
        <v>8.2774183547887625E-2</v>
      </c>
      <c r="O14">
        <f t="shared" si="2"/>
        <v>5.9825489338425797E-2</v>
      </c>
      <c r="P14">
        <f t="shared" si="2"/>
        <v>0.15026355867803612</v>
      </c>
      <c r="Q14">
        <f t="shared" si="2"/>
        <v>4.6368101205024805E-2</v>
      </c>
      <c r="R14">
        <f t="shared" si="2"/>
        <v>7.4530407528010781E-2</v>
      </c>
      <c r="S14">
        <f t="shared" si="2"/>
        <v>8.8609334942368181E-2</v>
      </c>
    </row>
    <row r="16" spans="1:19" x14ac:dyDescent="0.25">
      <c r="A16">
        <v>0</v>
      </c>
      <c r="B16">
        <f t="shared" ref="B16:S16" si="3">B2*B$12+B$13</f>
        <v>-1.2817579015398133</v>
      </c>
      <c r="C16">
        <f t="shared" si="3"/>
        <v>-1.2241737064086511</v>
      </c>
      <c r="D16">
        <f t="shared" si="3"/>
        <v>-2.571045607679352</v>
      </c>
      <c r="E16">
        <f t="shared" si="3"/>
        <v>-2.9473225330675206</v>
      </c>
      <c r="F16">
        <f t="shared" si="3"/>
        <v>-2.611365675300231</v>
      </c>
      <c r="G16">
        <f t="shared" si="3"/>
        <v>-3.6894259677073791</v>
      </c>
      <c r="H16">
        <f t="shared" si="3"/>
        <v>-0.20883453539828167</v>
      </c>
      <c r="I16">
        <f t="shared" si="3"/>
        <v>-2.3298041083674974</v>
      </c>
      <c r="J16">
        <f t="shared" si="3"/>
        <v>-0.4564999972148378</v>
      </c>
      <c r="K16">
        <f t="shared" si="3"/>
        <v>-3.9882466941413952</v>
      </c>
      <c r="L16">
        <f t="shared" si="3"/>
        <v>-3.9720537592473875</v>
      </c>
      <c r="M16">
        <f t="shared" si="3"/>
        <v>-3.6912550403313276</v>
      </c>
      <c r="N16">
        <f t="shared" si="3"/>
        <v>4.9664510128732573</v>
      </c>
      <c r="O16">
        <f t="shared" si="3"/>
        <v>-2.638352616582063</v>
      </c>
      <c r="P16">
        <f t="shared" si="3"/>
        <v>9.0158135206821672</v>
      </c>
      <c r="Q16">
        <f t="shared" si="3"/>
        <v>2.7820860723014884</v>
      </c>
      <c r="R16">
        <f t="shared" si="3"/>
        <v>-2.6899244827248481</v>
      </c>
      <c r="S16">
        <f t="shared" si="3"/>
        <v>-3.8580544117899258</v>
      </c>
    </row>
    <row r="17" spans="1:19" x14ac:dyDescent="0.25">
      <c r="A17">
        <v>4</v>
      </c>
      <c r="B17">
        <f t="shared" ref="B17:S17" si="4">B3*B$12+B$13</f>
        <v>3.2813012957752949</v>
      </c>
      <c r="C17">
        <f t="shared" si="4"/>
        <v>2.7375317465758098</v>
      </c>
      <c r="D17">
        <f t="shared" si="4"/>
        <v>2.9252666593413821</v>
      </c>
      <c r="E17">
        <f t="shared" si="4"/>
        <v>2.6885394420548181</v>
      </c>
      <c r="F17">
        <f t="shared" si="4"/>
        <v>2.3426845246315438</v>
      </c>
      <c r="G17">
        <f t="shared" si="4"/>
        <v>2.7814077995538753</v>
      </c>
      <c r="H17">
        <f t="shared" si="4"/>
        <v>3.3894666047996225</v>
      </c>
      <c r="I17">
        <f t="shared" si="4"/>
        <v>2.8617376308038303</v>
      </c>
      <c r="J17">
        <f t="shared" si="4"/>
        <v>3.6194052129195313</v>
      </c>
      <c r="K17">
        <f t="shared" si="4"/>
        <v>2.4041952522460761</v>
      </c>
      <c r="L17">
        <f t="shared" si="4"/>
        <v>2.185564305451777</v>
      </c>
      <c r="M17">
        <f t="shared" si="4"/>
        <v>2.3819907592471168</v>
      </c>
      <c r="N17">
        <f t="shared" si="4"/>
        <v>6.4056587013645085</v>
      </c>
      <c r="O17">
        <f t="shared" si="4"/>
        <v>2.6632289754832357</v>
      </c>
      <c r="P17">
        <f t="shared" si="4"/>
        <v>9.0159284147532155</v>
      </c>
      <c r="Q17">
        <f t="shared" si="4"/>
        <v>4.5913666825214099</v>
      </c>
      <c r="R17">
        <f t="shared" si="4"/>
        <v>2.6710609164955486</v>
      </c>
      <c r="S17">
        <f t="shared" si="4"/>
        <v>2.6252621719774538</v>
      </c>
    </row>
    <row r="18" spans="1:19" x14ac:dyDescent="0.25">
      <c r="A18">
        <v>8</v>
      </c>
      <c r="B18">
        <f t="shared" ref="B18:S18" si="5">B4*B$12+B$13</f>
        <v>7.5030722767380809</v>
      </c>
      <c r="C18">
        <f t="shared" si="5"/>
        <v>6.6843501488765042</v>
      </c>
      <c r="D18">
        <f t="shared" si="5"/>
        <v>7.7689616262327803</v>
      </c>
      <c r="E18">
        <f t="shared" si="5"/>
        <v>7.6810631740695499</v>
      </c>
      <c r="F18">
        <f t="shared" si="5"/>
        <v>7.5244132014155163</v>
      </c>
      <c r="G18">
        <f t="shared" si="5"/>
        <v>7.9578066044064713</v>
      </c>
      <c r="H18">
        <f t="shared" si="5"/>
        <v>6.7515223649463962</v>
      </c>
      <c r="I18">
        <f t="shared" si="5"/>
        <v>7.3146035310402056</v>
      </c>
      <c r="J18">
        <f t="shared" si="5"/>
        <v>7.9550386598160436</v>
      </c>
      <c r="K18">
        <f t="shared" si="5"/>
        <v>7.7579847294582081</v>
      </c>
      <c r="L18">
        <f t="shared" si="5"/>
        <v>7.7409786867204247</v>
      </c>
      <c r="M18">
        <f t="shared" si="5"/>
        <v>7.8307247714806607</v>
      </c>
      <c r="N18">
        <f t="shared" si="5"/>
        <v>8.0543984106209479</v>
      </c>
      <c r="O18">
        <f t="shared" si="5"/>
        <v>7.4272048789961076</v>
      </c>
      <c r="P18">
        <f t="shared" si="5"/>
        <v>9.2123340081725331</v>
      </c>
      <c r="Q18">
        <f t="shared" si="5"/>
        <v>7.7519341621992215</v>
      </c>
      <c r="R18">
        <f t="shared" si="5"/>
        <v>7.5840535493107524</v>
      </c>
      <c r="S18">
        <f t="shared" si="5"/>
        <v>8.0516766669331439</v>
      </c>
    </row>
    <row r="19" spans="1:19" x14ac:dyDescent="0.25">
      <c r="A19">
        <v>12</v>
      </c>
      <c r="B19">
        <f t="shared" ref="B19:S19" si="6">B5*B$12+B$13</f>
        <v>11.828510579453248</v>
      </c>
      <c r="C19">
        <f t="shared" si="6"/>
        <v>12.16416098560995</v>
      </c>
      <c r="D19">
        <f t="shared" si="6"/>
        <v>12.308177727223367</v>
      </c>
      <c r="E19">
        <f t="shared" si="6"/>
        <v>12.876976810917327</v>
      </c>
      <c r="F19">
        <f t="shared" si="6"/>
        <v>12.399381491696804</v>
      </c>
      <c r="G19">
        <f t="shared" si="6"/>
        <v>13.054529776304165</v>
      </c>
      <c r="H19">
        <f t="shared" si="6"/>
        <v>11.918578446172177</v>
      </c>
      <c r="I19">
        <f t="shared" si="6"/>
        <v>12.940034353858906</v>
      </c>
      <c r="J19">
        <f t="shared" si="6"/>
        <v>11.767192017743092</v>
      </c>
      <c r="K19">
        <f t="shared" si="6"/>
        <v>13.313778447651778</v>
      </c>
      <c r="L19">
        <f t="shared" si="6"/>
        <v>13.399234586052785</v>
      </c>
      <c r="M19">
        <f t="shared" si="6"/>
        <v>13.297624223810757</v>
      </c>
      <c r="N19">
        <f t="shared" si="6"/>
        <v>9.8764008145315216</v>
      </c>
      <c r="O19">
        <f t="shared" si="6"/>
        <v>12.956511301870009</v>
      </c>
      <c r="P19">
        <f t="shared" si="6"/>
        <v>10.971274663442411</v>
      </c>
      <c r="Q19">
        <f t="shared" si="6"/>
        <v>11.367880843056493</v>
      </c>
      <c r="R19">
        <f t="shared" si="6"/>
        <v>12.736105329691696</v>
      </c>
      <c r="S19">
        <f t="shared" si="6"/>
        <v>13.586350252070904</v>
      </c>
    </row>
    <row r="20" spans="1:19" x14ac:dyDescent="0.25">
      <c r="A20">
        <v>16</v>
      </c>
      <c r="B20">
        <f t="shared" ref="B20:S20" si="7">B6*B$12+B$13</f>
        <v>16.783768973360182</v>
      </c>
      <c r="C20">
        <f t="shared" si="7"/>
        <v>17.050230739381185</v>
      </c>
      <c r="D20">
        <f t="shared" si="7"/>
        <v>17.286025912621511</v>
      </c>
      <c r="E20">
        <f t="shared" si="7"/>
        <v>17.782173864827755</v>
      </c>
      <c r="F20">
        <f t="shared" si="7"/>
        <v>17.547943898084636</v>
      </c>
      <c r="G20">
        <f t="shared" si="7"/>
        <v>17.59436601229983</v>
      </c>
      <c r="H20">
        <f t="shared" si="7"/>
        <v>16.525554668398669</v>
      </c>
      <c r="I20">
        <f t="shared" si="7"/>
        <v>17.2381812487574</v>
      </c>
      <c r="J20">
        <f t="shared" si="7"/>
        <v>15.27557271069027</v>
      </c>
      <c r="K20">
        <f t="shared" si="7"/>
        <v>18.310376244442097</v>
      </c>
      <c r="L20">
        <f t="shared" si="7"/>
        <v>18.502953904085587</v>
      </c>
      <c r="M20">
        <f t="shared" si="7"/>
        <v>18.133533318548402</v>
      </c>
      <c r="N20">
        <f t="shared" si="7"/>
        <v>13.14521109418601</v>
      </c>
      <c r="O20">
        <f t="shared" si="7"/>
        <v>17.691106460393417</v>
      </c>
      <c r="P20">
        <f t="shared" si="7"/>
        <v>13.544072279902995</v>
      </c>
      <c r="Q20">
        <f t="shared" si="7"/>
        <v>15.47652716188616</v>
      </c>
      <c r="R20">
        <f t="shared" si="7"/>
        <v>17.223319549796827</v>
      </c>
      <c r="S20">
        <f t="shared" si="7"/>
        <v>17.953886191308296</v>
      </c>
    </row>
    <row r="21" spans="1:19" x14ac:dyDescent="0.25">
      <c r="A21">
        <v>20</v>
      </c>
      <c r="B21">
        <f t="shared" ref="B21:S21" si="8">B7*B$12+B$13</f>
        <v>21.784735002673788</v>
      </c>
      <c r="C21">
        <f t="shared" si="8"/>
        <v>22.217778118872815</v>
      </c>
      <c r="D21">
        <f t="shared" si="8"/>
        <v>22.279391573355312</v>
      </c>
      <c r="E21">
        <f t="shared" si="8"/>
        <v>22.48263502784269</v>
      </c>
      <c r="F21">
        <f t="shared" si="8"/>
        <v>22.652130344526508</v>
      </c>
      <c r="G21">
        <f t="shared" si="8"/>
        <v>22.754469171103906</v>
      </c>
      <c r="H21">
        <f t="shared" si="8"/>
        <v>21.241674580532788</v>
      </c>
      <c r="I21">
        <f t="shared" si="8"/>
        <v>21.871937160444489</v>
      </c>
      <c r="J21">
        <f t="shared" si="8"/>
        <v>20.315980119185379</v>
      </c>
      <c r="K21">
        <f t="shared" si="8"/>
        <v>23.340137168254302</v>
      </c>
      <c r="L21">
        <f t="shared" si="8"/>
        <v>23.276309383470888</v>
      </c>
      <c r="M21">
        <f t="shared" si="8"/>
        <v>22.751578144253401</v>
      </c>
      <c r="N21">
        <f t="shared" si="8"/>
        <v>16.521938960052879</v>
      </c>
      <c r="O21">
        <f t="shared" si="8"/>
        <v>22.440238905074043</v>
      </c>
      <c r="P21">
        <f t="shared" si="8"/>
        <v>15.484301878811934</v>
      </c>
      <c r="Q21">
        <f t="shared" si="8"/>
        <v>19.072262281225143</v>
      </c>
      <c r="R21">
        <f t="shared" si="8"/>
        <v>22.319898063848484</v>
      </c>
      <c r="S21">
        <f t="shared" si="8"/>
        <v>22.211592538844602</v>
      </c>
    </row>
    <row r="22" spans="1:19" x14ac:dyDescent="0.25">
      <c r="A22">
        <v>30</v>
      </c>
      <c r="B22">
        <f t="shared" ref="B22:S22" si="9">B8*B$12+B$13</f>
        <v>31.019581205389677</v>
      </c>
      <c r="C22">
        <f t="shared" si="9"/>
        <v>32.690773233661048</v>
      </c>
      <c r="D22">
        <f t="shared" si="9"/>
        <v>32.505447694935043</v>
      </c>
      <c r="E22">
        <f t="shared" si="9"/>
        <v>32.285136890896311</v>
      </c>
      <c r="F22">
        <f t="shared" si="9"/>
        <v>33.654800214230079</v>
      </c>
      <c r="G22">
        <f t="shared" si="9"/>
        <v>33.402823135254408</v>
      </c>
      <c r="H22">
        <f t="shared" si="9"/>
        <v>30.73993719880275</v>
      </c>
      <c r="I22">
        <f t="shared" si="9"/>
        <v>32.472598923643801</v>
      </c>
      <c r="J22">
        <f t="shared" si="9"/>
        <v>31.896182007161205</v>
      </c>
      <c r="K22">
        <f t="shared" si="9"/>
        <v>33.504103314293829</v>
      </c>
      <c r="L22">
        <f t="shared" si="9"/>
        <v>33.639356541884894</v>
      </c>
      <c r="M22">
        <f t="shared" si="9"/>
        <v>33.19194652346539</v>
      </c>
      <c r="N22">
        <f t="shared" si="9"/>
        <v>28.572595697690744</v>
      </c>
      <c r="O22">
        <f t="shared" si="9"/>
        <v>32.1032485358256</v>
      </c>
      <c r="P22">
        <f t="shared" si="9"/>
        <v>21.419923728157784</v>
      </c>
      <c r="Q22">
        <f t="shared" si="9"/>
        <v>28.028809529021757</v>
      </c>
      <c r="R22">
        <f t="shared" si="9"/>
        <v>33.171361535128071</v>
      </c>
      <c r="S22">
        <f t="shared" si="9"/>
        <v>32.821770392392409</v>
      </c>
    </row>
    <row r="23" spans="1:19" x14ac:dyDescent="0.25">
      <c r="A23">
        <v>40</v>
      </c>
      <c r="B23">
        <f t="shared" ref="B23:S23" si="10">B9*B$12+B$13</f>
        <v>41.511462869528387</v>
      </c>
      <c r="C23">
        <f t="shared" si="10"/>
        <v>40.928450804697796</v>
      </c>
      <c r="D23">
        <f t="shared" si="10"/>
        <v>41.293107563762362</v>
      </c>
      <c r="E23">
        <f t="shared" si="10"/>
        <v>41.014709007586788</v>
      </c>
      <c r="F23">
        <f t="shared" si="10"/>
        <v>41.697758306250535</v>
      </c>
      <c r="G23">
        <f t="shared" si="10"/>
        <v>41.159000875692286</v>
      </c>
      <c r="H23">
        <f t="shared" si="10"/>
        <v>41.5461234519491</v>
      </c>
      <c r="I23">
        <f t="shared" si="10"/>
        <v>41.192587794159039</v>
      </c>
      <c r="J23">
        <f t="shared" si="10"/>
        <v>41.897578553269213</v>
      </c>
      <c r="K23">
        <f t="shared" si="10"/>
        <v>40.947857866750297</v>
      </c>
      <c r="L23">
        <f t="shared" si="10"/>
        <v>41.258050272258188</v>
      </c>
      <c r="M23">
        <f t="shared" si="10"/>
        <v>41.589403820396555</v>
      </c>
      <c r="N23">
        <f t="shared" si="10"/>
        <v>41.737062219069941</v>
      </c>
      <c r="O23">
        <f t="shared" si="10"/>
        <v>40.946342919245197</v>
      </c>
      <c r="P23">
        <f t="shared" si="10"/>
        <v>37.216263565510452</v>
      </c>
      <c r="Q23">
        <f t="shared" si="10"/>
        <v>39.029853184527056</v>
      </c>
      <c r="R23">
        <f t="shared" si="10"/>
        <v>41.455949990134215</v>
      </c>
      <c r="S23">
        <f t="shared" si="10"/>
        <v>41.924076294805232</v>
      </c>
    </row>
    <row r="24" spans="1:19" x14ac:dyDescent="0.25">
      <c r="A24">
        <v>60</v>
      </c>
      <c r="B24">
        <f t="shared" ref="B24:S24" si="11">B10*B$12+B$13</f>
        <v>57.569325698621157</v>
      </c>
      <c r="C24">
        <f t="shared" si="11"/>
        <v>56.750897928733522</v>
      </c>
      <c r="D24">
        <f t="shared" si="11"/>
        <v>56.204666850207431</v>
      </c>
      <c r="E24">
        <f t="shared" si="11"/>
        <v>56.136088314872282</v>
      </c>
      <c r="F24">
        <f t="shared" si="11"/>
        <v>54.792253694464677</v>
      </c>
      <c r="G24">
        <f t="shared" si="11"/>
        <v>54.985022593092481</v>
      </c>
      <c r="H24">
        <f t="shared" si="11"/>
        <v>58.095977219796822</v>
      </c>
      <c r="I24">
        <f t="shared" si="11"/>
        <v>56.438123465659771</v>
      </c>
      <c r="J24">
        <f t="shared" si="11"/>
        <v>57.72955071643014</v>
      </c>
      <c r="K24">
        <f t="shared" si="11"/>
        <v>54.40981367104483</v>
      </c>
      <c r="L24">
        <f t="shared" si="11"/>
        <v>53.969606079322759</v>
      </c>
      <c r="M24">
        <f t="shared" si="11"/>
        <v>54.514453479129074</v>
      </c>
      <c r="N24">
        <f t="shared" si="11"/>
        <v>60.720283089610277</v>
      </c>
      <c r="O24">
        <f t="shared" si="11"/>
        <v>56.410470639694452</v>
      </c>
      <c r="P24">
        <f t="shared" si="11"/>
        <v>64.120087940566506</v>
      </c>
      <c r="Q24">
        <f t="shared" si="11"/>
        <v>61.899280083261246</v>
      </c>
      <c r="R24">
        <f t="shared" si="11"/>
        <v>55.528175548319354</v>
      </c>
      <c r="S24">
        <f t="shared" si="11"/>
        <v>54.683439903457909</v>
      </c>
    </row>
    <row r="26" spans="1:19" x14ac:dyDescent="0.25">
      <c r="A26">
        <v>0</v>
      </c>
      <c r="B26">
        <f t="shared" ref="B26:B34" si="12">ABS(B16-$A16)</f>
        <v>1.2817579015398133</v>
      </c>
      <c r="C26">
        <f t="shared" ref="C26:S26" si="13">ABS(C16-$A16)</f>
        <v>1.2241737064086511</v>
      </c>
      <c r="D26">
        <f t="shared" si="13"/>
        <v>2.571045607679352</v>
      </c>
      <c r="E26">
        <f t="shared" si="13"/>
        <v>2.9473225330675206</v>
      </c>
      <c r="F26">
        <f t="shared" si="13"/>
        <v>2.611365675300231</v>
      </c>
      <c r="G26">
        <f t="shared" si="13"/>
        <v>3.6894259677073791</v>
      </c>
      <c r="H26">
        <f t="shared" si="13"/>
        <v>0.20883453539828167</v>
      </c>
      <c r="I26">
        <f t="shared" si="13"/>
        <v>2.3298041083674974</v>
      </c>
      <c r="J26">
        <f t="shared" si="13"/>
        <v>0.4564999972148378</v>
      </c>
      <c r="K26">
        <f t="shared" si="13"/>
        <v>3.9882466941413952</v>
      </c>
      <c r="L26">
        <f t="shared" si="13"/>
        <v>3.9720537592473875</v>
      </c>
      <c r="M26">
        <f t="shared" si="13"/>
        <v>3.6912550403313276</v>
      </c>
      <c r="N26">
        <f t="shared" si="13"/>
        <v>4.9664510128732573</v>
      </c>
      <c r="O26">
        <f t="shared" si="13"/>
        <v>2.638352616582063</v>
      </c>
      <c r="P26">
        <f t="shared" si="13"/>
        <v>9.0158135206821672</v>
      </c>
      <c r="Q26">
        <f t="shared" si="13"/>
        <v>2.7820860723014884</v>
      </c>
      <c r="R26">
        <f t="shared" si="13"/>
        <v>2.6899244827248481</v>
      </c>
      <c r="S26">
        <f t="shared" si="13"/>
        <v>3.8580544117899258</v>
      </c>
    </row>
    <row r="27" spans="1:19" x14ac:dyDescent="0.25">
      <c r="A27">
        <v>4</v>
      </c>
      <c r="B27">
        <f t="shared" si="12"/>
        <v>0.71869870422470505</v>
      </c>
      <c r="C27">
        <f t="shared" ref="C27:S27" si="14">ABS(C17-$A17)</f>
        <v>1.2624682534241902</v>
      </c>
      <c r="D27">
        <f t="shared" si="14"/>
        <v>1.0747333406586179</v>
      </c>
      <c r="E27">
        <f t="shared" si="14"/>
        <v>1.3114605579451819</v>
      </c>
      <c r="F27">
        <f t="shared" si="14"/>
        <v>1.6573154753684562</v>
      </c>
      <c r="G27">
        <f t="shared" si="14"/>
        <v>1.2185922004461247</v>
      </c>
      <c r="H27">
        <f t="shared" si="14"/>
        <v>0.61053339520037753</v>
      </c>
      <c r="I27">
        <f t="shared" si="14"/>
        <v>1.1382623691961697</v>
      </c>
      <c r="J27">
        <f t="shared" si="14"/>
        <v>0.38059478708046868</v>
      </c>
      <c r="K27">
        <f t="shared" si="14"/>
        <v>1.5958047477539239</v>
      </c>
      <c r="L27">
        <f t="shared" si="14"/>
        <v>1.814435694548223</v>
      </c>
      <c r="M27">
        <f t="shared" si="14"/>
        <v>1.6180092407528832</v>
      </c>
      <c r="N27">
        <f t="shared" si="14"/>
        <v>2.4056587013645085</v>
      </c>
      <c r="O27">
        <f t="shared" si="14"/>
        <v>1.3367710245167643</v>
      </c>
      <c r="P27">
        <f t="shared" si="14"/>
        <v>5.0159284147532155</v>
      </c>
      <c r="Q27">
        <f t="shared" si="14"/>
        <v>0.59136668252140989</v>
      </c>
      <c r="R27">
        <f t="shared" si="14"/>
        <v>1.3289390835044514</v>
      </c>
      <c r="S27">
        <f t="shared" si="14"/>
        <v>1.3747378280225462</v>
      </c>
    </row>
    <row r="28" spans="1:19" x14ac:dyDescent="0.25">
      <c r="A28">
        <v>8</v>
      </c>
      <c r="B28">
        <f t="shared" si="12"/>
        <v>0.49692772326191914</v>
      </c>
      <c r="C28">
        <f t="shared" ref="C28:S28" si="15">ABS(C18-$A18)</f>
        <v>1.3156498511234958</v>
      </c>
      <c r="D28">
        <f t="shared" si="15"/>
        <v>0.2310383737672197</v>
      </c>
      <c r="E28">
        <f t="shared" si="15"/>
        <v>0.31893682593045014</v>
      </c>
      <c r="F28">
        <f t="shared" si="15"/>
        <v>0.47558679858448372</v>
      </c>
      <c r="G28">
        <f t="shared" si="15"/>
        <v>4.2193395593528749E-2</v>
      </c>
      <c r="H28">
        <f t="shared" si="15"/>
        <v>1.2484776350536038</v>
      </c>
      <c r="I28">
        <f t="shared" si="15"/>
        <v>0.68539646895979445</v>
      </c>
      <c r="J28">
        <f t="shared" si="15"/>
        <v>4.4961340183956366E-2</v>
      </c>
      <c r="K28">
        <f t="shared" si="15"/>
        <v>0.24201527054179195</v>
      </c>
      <c r="L28">
        <f t="shared" si="15"/>
        <v>0.25902131327957534</v>
      </c>
      <c r="M28">
        <f t="shared" si="15"/>
        <v>0.16927522851933929</v>
      </c>
      <c r="N28">
        <f t="shared" si="15"/>
        <v>5.4398410620947857E-2</v>
      </c>
      <c r="O28">
        <f t="shared" si="15"/>
        <v>0.5727951210038924</v>
      </c>
      <c r="P28">
        <f t="shared" si="15"/>
        <v>1.2123340081725331</v>
      </c>
      <c r="Q28">
        <f t="shared" si="15"/>
        <v>0.24806583780077851</v>
      </c>
      <c r="R28">
        <f t="shared" si="15"/>
        <v>0.41594645068924763</v>
      </c>
      <c r="S28">
        <f t="shared" si="15"/>
        <v>5.1676666933143878E-2</v>
      </c>
    </row>
    <row r="29" spans="1:19" x14ac:dyDescent="0.25">
      <c r="A29">
        <v>12</v>
      </c>
      <c r="B29">
        <f t="shared" si="12"/>
        <v>0.17148942054675231</v>
      </c>
      <c r="C29">
        <f t="shared" ref="C29:S29" si="16">ABS(C19-$A19)</f>
        <v>0.16416098560994996</v>
      </c>
      <c r="D29">
        <f t="shared" si="16"/>
        <v>0.30817772722336656</v>
      </c>
      <c r="E29">
        <f t="shared" si="16"/>
        <v>0.87697681091732704</v>
      </c>
      <c r="F29">
        <f t="shared" si="16"/>
        <v>0.39938149169680415</v>
      </c>
      <c r="G29">
        <f t="shared" si="16"/>
        <v>1.0545297763041646</v>
      </c>
      <c r="H29">
        <f t="shared" si="16"/>
        <v>8.1421553827823345E-2</v>
      </c>
      <c r="I29">
        <f t="shared" si="16"/>
        <v>0.94003435385890555</v>
      </c>
      <c r="J29">
        <f t="shared" si="16"/>
        <v>0.23280798225690802</v>
      </c>
      <c r="K29">
        <f t="shared" si="16"/>
        <v>1.313778447651778</v>
      </c>
      <c r="L29">
        <f t="shared" si="16"/>
        <v>1.3992345860527848</v>
      </c>
      <c r="M29">
        <f t="shared" si="16"/>
        <v>1.2976242238107574</v>
      </c>
      <c r="N29">
        <f t="shared" si="16"/>
        <v>2.1235991854684784</v>
      </c>
      <c r="O29">
        <f t="shared" si="16"/>
        <v>0.95651130187000888</v>
      </c>
      <c r="P29">
        <f t="shared" si="16"/>
        <v>1.0287253365575886</v>
      </c>
      <c r="Q29">
        <f t="shared" si="16"/>
        <v>0.63211915694350651</v>
      </c>
      <c r="R29">
        <f t="shared" si="16"/>
        <v>0.7361053296916964</v>
      </c>
      <c r="S29">
        <f t="shared" si="16"/>
        <v>1.5863502520709041</v>
      </c>
    </row>
    <row r="30" spans="1:19" x14ac:dyDescent="0.25">
      <c r="A30">
        <v>16</v>
      </c>
      <c r="B30">
        <f t="shared" si="12"/>
        <v>0.78376897336018203</v>
      </c>
      <c r="C30">
        <f t="shared" ref="C30:S30" si="17">ABS(C20-$A20)</f>
        <v>1.0502307393811847</v>
      </c>
      <c r="D30">
        <f t="shared" si="17"/>
        <v>1.2860259126215112</v>
      </c>
      <c r="E30">
        <f t="shared" si="17"/>
        <v>1.7821738648277545</v>
      </c>
      <c r="F30">
        <f t="shared" si="17"/>
        <v>1.5479438980846361</v>
      </c>
      <c r="G30">
        <f t="shared" si="17"/>
        <v>1.5943660122998295</v>
      </c>
      <c r="H30">
        <f t="shared" si="17"/>
        <v>0.52555466839866938</v>
      </c>
      <c r="I30">
        <f t="shared" si="17"/>
        <v>1.2381812487573995</v>
      </c>
      <c r="J30">
        <f t="shared" si="17"/>
        <v>0.72442728930973033</v>
      </c>
      <c r="K30">
        <f t="shared" si="17"/>
        <v>2.3103762444420965</v>
      </c>
      <c r="L30">
        <f t="shared" si="17"/>
        <v>2.5029539040855866</v>
      </c>
      <c r="M30">
        <f t="shared" si="17"/>
        <v>2.1335333185484018</v>
      </c>
      <c r="N30">
        <f t="shared" si="17"/>
        <v>2.8547889058139901</v>
      </c>
      <c r="O30">
        <f t="shared" si="17"/>
        <v>1.6911064603934172</v>
      </c>
      <c r="P30">
        <f t="shared" si="17"/>
        <v>2.4559277200970051</v>
      </c>
      <c r="Q30">
        <f t="shared" si="17"/>
        <v>0.5234728381138396</v>
      </c>
      <c r="R30">
        <f t="shared" si="17"/>
        <v>1.2233195497968268</v>
      </c>
      <c r="S30">
        <f t="shared" si="17"/>
        <v>1.9538861913082961</v>
      </c>
    </row>
    <row r="31" spans="1:19" x14ac:dyDescent="0.25">
      <c r="A31">
        <v>20</v>
      </c>
      <c r="B31">
        <f t="shared" si="12"/>
        <v>1.7847350026737878</v>
      </c>
      <c r="C31">
        <f t="shared" ref="C31:S31" si="18">ABS(C21-$A21)</f>
        <v>2.2177781188728147</v>
      </c>
      <c r="D31">
        <f t="shared" si="18"/>
        <v>2.2793915733553121</v>
      </c>
      <c r="E31">
        <f t="shared" si="18"/>
        <v>2.4826350278426901</v>
      </c>
      <c r="F31">
        <f t="shared" si="18"/>
        <v>2.6521303445265083</v>
      </c>
      <c r="G31">
        <f t="shared" si="18"/>
        <v>2.7544691711039064</v>
      </c>
      <c r="H31">
        <f t="shared" si="18"/>
        <v>1.2416745805327878</v>
      </c>
      <c r="I31">
        <f t="shared" si="18"/>
        <v>1.8719371604444888</v>
      </c>
      <c r="J31">
        <f t="shared" si="18"/>
        <v>0.31598011918537949</v>
      </c>
      <c r="K31">
        <f t="shared" si="18"/>
        <v>3.3401371682543015</v>
      </c>
      <c r="L31">
        <f t="shared" si="18"/>
        <v>3.2763093834708883</v>
      </c>
      <c r="M31">
        <f t="shared" si="18"/>
        <v>2.7515781442534006</v>
      </c>
      <c r="N31">
        <f t="shared" si="18"/>
        <v>3.4780610399471215</v>
      </c>
      <c r="O31">
        <f t="shared" si="18"/>
        <v>2.4402389050740432</v>
      </c>
      <c r="P31">
        <f t="shared" si="18"/>
        <v>4.5156981211880662</v>
      </c>
      <c r="Q31">
        <f t="shared" si="18"/>
        <v>0.927737718774857</v>
      </c>
      <c r="R31">
        <f t="shared" si="18"/>
        <v>2.3198980638484841</v>
      </c>
      <c r="S31">
        <f t="shared" si="18"/>
        <v>2.2115925388446023</v>
      </c>
    </row>
    <row r="32" spans="1:19" x14ac:dyDescent="0.25">
      <c r="A32">
        <v>30</v>
      </c>
      <c r="B32">
        <f t="shared" si="12"/>
        <v>1.0195812053896773</v>
      </c>
      <c r="C32">
        <f t="shared" ref="C32:S32" si="19">ABS(C22-$A22)</f>
        <v>2.6907732336610479</v>
      </c>
      <c r="D32">
        <f t="shared" si="19"/>
        <v>2.505447694935043</v>
      </c>
      <c r="E32">
        <f t="shared" si="19"/>
        <v>2.285136890896311</v>
      </c>
      <c r="F32">
        <f t="shared" si="19"/>
        <v>3.6548002142300788</v>
      </c>
      <c r="G32">
        <f t="shared" si="19"/>
        <v>3.4028231352544083</v>
      </c>
      <c r="H32">
        <f t="shared" si="19"/>
        <v>0.73993719880274966</v>
      </c>
      <c r="I32">
        <f t="shared" si="19"/>
        <v>2.4725989236438011</v>
      </c>
      <c r="J32">
        <f t="shared" si="19"/>
        <v>1.8961820071612046</v>
      </c>
      <c r="K32">
        <f t="shared" si="19"/>
        <v>3.5041033142938289</v>
      </c>
      <c r="L32">
        <f t="shared" si="19"/>
        <v>3.6393565418848937</v>
      </c>
      <c r="M32">
        <f t="shared" si="19"/>
        <v>3.1919465234653899</v>
      </c>
      <c r="N32">
        <f t="shared" si="19"/>
        <v>1.427404302309256</v>
      </c>
      <c r="O32">
        <f t="shared" si="19"/>
        <v>2.1032485358255997</v>
      </c>
      <c r="P32">
        <f t="shared" si="19"/>
        <v>8.5800762718422163</v>
      </c>
      <c r="Q32">
        <f t="shared" si="19"/>
        <v>1.9711904709782431</v>
      </c>
      <c r="R32">
        <f t="shared" si="19"/>
        <v>3.1713615351280708</v>
      </c>
      <c r="S32">
        <f t="shared" si="19"/>
        <v>2.8217703923924091</v>
      </c>
    </row>
    <row r="33" spans="1:19" x14ac:dyDescent="0.25">
      <c r="A33">
        <v>40</v>
      </c>
      <c r="B33">
        <f t="shared" si="12"/>
        <v>1.5114628695283869</v>
      </c>
      <c r="C33">
        <f t="shared" ref="C33:S33" si="20">ABS(C23-$A23)</f>
        <v>0.92845080469779617</v>
      </c>
      <c r="D33">
        <f t="shared" si="20"/>
        <v>1.2931075637623621</v>
      </c>
      <c r="E33">
        <f t="shared" si="20"/>
        <v>1.0147090075867879</v>
      </c>
      <c r="F33">
        <f t="shared" si="20"/>
        <v>1.6977583062505346</v>
      </c>
      <c r="G33">
        <f t="shared" si="20"/>
        <v>1.1590008756922856</v>
      </c>
      <c r="H33">
        <f t="shared" si="20"/>
        <v>1.5461234519491001</v>
      </c>
      <c r="I33">
        <f t="shared" si="20"/>
        <v>1.1925877941590386</v>
      </c>
      <c r="J33">
        <f t="shared" si="20"/>
        <v>1.8975785532692129</v>
      </c>
      <c r="K33">
        <f t="shared" si="20"/>
        <v>0.94785786675029726</v>
      </c>
      <c r="L33">
        <f t="shared" si="20"/>
        <v>1.2580502722581883</v>
      </c>
      <c r="M33">
        <f t="shared" si="20"/>
        <v>1.589403820396555</v>
      </c>
      <c r="N33">
        <f t="shared" si="20"/>
        <v>1.7370622190699407</v>
      </c>
      <c r="O33">
        <f t="shared" si="20"/>
        <v>0.94634291924519687</v>
      </c>
      <c r="P33">
        <f t="shared" si="20"/>
        <v>2.7837364344895477</v>
      </c>
      <c r="Q33">
        <f t="shared" si="20"/>
        <v>0.97014681547294401</v>
      </c>
      <c r="R33">
        <f t="shared" si="20"/>
        <v>1.455949990134215</v>
      </c>
      <c r="S33">
        <f t="shared" si="20"/>
        <v>1.9240762948052321</v>
      </c>
    </row>
    <row r="34" spans="1:19" x14ac:dyDescent="0.25">
      <c r="A34">
        <v>60</v>
      </c>
      <c r="B34">
        <f t="shared" si="12"/>
        <v>2.4306743013788434</v>
      </c>
      <c r="C34">
        <f t="shared" ref="C34:S34" si="21">ABS(C24-$A24)</f>
        <v>3.2491020712664778</v>
      </c>
      <c r="D34">
        <f t="shared" si="21"/>
        <v>3.7953331497925689</v>
      </c>
      <c r="E34">
        <f t="shared" si="21"/>
        <v>3.863911685127718</v>
      </c>
      <c r="F34">
        <f t="shared" si="21"/>
        <v>5.2077463055353235</v>
      </c>
      <c r="G34">
        <f t="shared" si="21"/>
        <v>5.0149774069075193</v>
      </c>
      <c r="H34">
        <f t="shared" si="21"/>
        <v>1.9040227802031779</v>
      </c>
      <c r="I34">
        <f t="shared" si="21"/>
        <v>3.5618765343402288</v>
      </c>
      <c r="J34">
        <f t="shared" si="21"/>
        <v>2.2704492835698602</v>
      </c>
      <c r="K34">
        <f t="shared" si="21"/>
        <v>5.5901863289551699</v>
      </c>
      <c r="L34">
        <f t="shared" si="21"/>
        <v>6.0303939206772412</v>
      </c>
      <c r="M34">
        <f t="shared" si="21"/>
        <v>5.4855465208709262</v>
      </c>
      <c r="N34">
        <f t="shared" si="21"/>
        <v>0.72028308961027676</v>
      </c>
      <c r="O34">
        <f t="shared" si="21"/>
        <v>3.5895293603055478</v>
      </c>
      <c r="P34">
        <f t="shared" si="21"/>
        <v>4.1200879405665063</v>
      </c>
      <c r="Q34">
        <f t="shared" si="21"/>
        <v>1.899280083261246</v>
      </c>
      <c r="R34">
        <f t="shared" si="21"/>
        <v>4.4718244516806465</v>
      </c>
      <c r="S34">
        <f t="shared" si="21"/>
        <v>5.3165600965420907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634E-891A-4F03-9AD9-9B87562CDD38}">
  <dimension ref="A1:S50"/>
  <sheetViews>
    <sheetView topLeftCell="A8" workbookViewId="0">
      <selection activeCell="B20" sqref="B20:S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38.81307329547208</v>
      </c>
      <c r="C2">
        <v>68.240073608162547</v>
      </c>
      <c r="D2">
        <v>266.73670649169634</v>
      </c>
      <c r="E2">
        <v>320.77306949670884</v>
      </c>
      <c r="F2">
        <v>165.9026244984652</v>
      </c>
      <c r="G2">
        <v>311.47166069948491</v>
      </c>
      <c r="H2">
        <v>411.07757196025665</v>
      </c>
      <c r="I2">
        <v>282.97249092507775</v>
      </c>
      <c r="J2">
        <v>73.34172727670304</v>
      </c>
      <c r="K2">
        <v>187.81345257074497</v>
      </c>
      <c r="L2">
        <v>436.79936461536556</v>
      </c>
      <c r="M2">
        <v>227.7936963547356</v>
      </c>
      <c r="N2">
        <v>459.28979546085679</v>
      </c>
      <c r="O2">
        <v>109.22547589267153</v>
      </c>
      <c r="P2">
        <v>6.1878577454249806</v>
      </c>
      <c r="Q2">
        <v>12.513880415562307</v>
      </c>
      <c r="R2">
        <v>425.62280697583668</v>
      </c>
      <c r="S2">
        <v>190.89450180963578</v>
      </c>
    </row>
    <row r="3" spans="1:19" x14ac:dyDescent="0.25">
      <c r="A3">
        <v>4</v>
      </c>
      <c r="B3">
        <v>61.914787747355561</v>
      </c>
      <c r="C3">
        <v>85.599778516655448</v>
      </c>
      <c r="D3">
        <v>296.93197831507439</v>
      </c>
      <c r="E3">
        <v>344.43448751117921</v>
      </c>
      <c r="F3">
        <v>190.80414219133328</v>
      </c>
      <c r="G3">
        <v>337.66006728922804</v>
      </c>
      <c r="H3">
        <v>424.40837235219726</v>
      </c>
      <c r="I3">
        <v>311.93213537385407</v>
      </c>
      <c r="J3">
        <v>100.42739357845905</v>
      </c>
      <c r="K3">
        <v>229.91291410146582</v>
      </c>
      <c r="L3">
        <v>466.90248066950022</v>
      </c>
      <c r="M3">
        <v>246.5747629293493</v>
      </c>
      <c r="N3">
        <v>467.40744983907786</v>
      </c>
      <c r="O3">
        <v>148.05905601427403</v>
      </c>
      <c r="P3">
        <v>6.3505206975402251</v>
      </c>
      <c r="Q3">
        <v>22.590182417562893</v>
      </c>
      <c r="R3">
        <v>451.02664744455501</v>
      </c>
      <c r="S3">
        <v>234.35226043088795</v>
      </c>
    </row>
    <row r="4" spans="1:19" x14ac:dyDescent="0.25">
      <c r="A4">
        <v>8</v>
      </c>
      <c r="B4">
        <v>82.254606167065248</v>
      </c>
      <c r="C4">
        <v>104.74823379750327</v>
      </c>
      <c r="D4">
        <v>324.86082239401588</v>
      </c>
      <c r="E4">
        <v>370.10363618000093</v>
      </c>
      <c r="F4">
        <v>208.15209632249108</v>
      </c>
      <c r="G4">
        <v>364.53445717786752</v>
      </c>
      <c r="H4">
        <v>436.9904346408378</v>
      </c>
      <c r="I4">
        <v>347.76389830341327</v>
      </c>
      <c r="J4">
        <v>122.10863802912748</v>
      </c>
      <c r="K4">
        <v>266.91222599324107</v>
      </c>
      <c r="L4">
        <v>501.32404278644566</v>
      </c>
      <c r="M4">
        <v>267.16071007065375</v>
      </c>
      <c r="N4">
        <v>475.50398561172739</v>
      </c>
      <c r="O4">
        <v>186.76604892967225</v>
      </c>
      <c r="P4">
        <v>6.5153506730308841</v>
      </c>
      <c r="Q4">
        <v>36.962730988585392</v>
      </c>
      <c r="R4">
        <v>478.52920317144486</v>
      </c>
      <c r="S4">
        <v>268.15486379353655</v>
      </c>
    </row>
    <row r="5" spans="1:19" x14ac:dyDescent="0.25">
      <c r="A5">
        <v>12</v>
      </c>
      <c r="B5">
        <v>110.40115324467779</v>
      </c>
      <c r="C5">
        <v>130.39049262565899</v>
      </c>
      <c r="D5">
        <v>355.58967401647664</v>
      </c>
      <c r="E5">
        <v>403.70110888929275</v>
      </c>
      <c r="F5">
        <v>237.60606425289404</v>
      </c>
      <c r="G5">
        <v>395.30563646122255</v>
      </c>
      <c r="H5">
        <v>457.88749700984533</v>
      </c>
      <c r="I5">
        <v>384.03762142568939</v>
      </c>
      <c r="J5">
        <v>150.58276128304965</v>
      </c>
      <c r="K5">
        <v>314.56283062374274</v>
      </c>
      <c r="L5">
        <v>544.18843276835753</v>
      </c>
      <c r="M5">
        <v>290.57786525519344</v>
      </c>
      <c r="N5">
        <v>487.40679003719271</v>
      </c>
      <c r="O5">
        <v>231.38421866367966</v>
      </c>
      <c r="P5">
        <v>11.262469491715418</v>
      </c>
      <c r="Q5">
        <v>60.706661634075431</v>
      </c>
      <c r="R5">
        <v>514.60535769324804</v>
      </c>
      <c r="S5">
        <v>312.46224641202849</v>
      </c>
    </row>
    <row r="6" spans="1:19" x14ac:dyDescent="0.25">
      <c r="A6">
        <v>16</v>
      </c>
      <c r="B6">
        <v>135.26546071417329</v>
      </c>
      <c r="C6">
        <v>165.86085191862429</v>
      </c>
      <c r="D6">
        <v>388.00175915617001</v>
      </c>
      <c r="E6">
        <v>438.23104266329898</v>
      </c>
      <c r="F6">
        <v>261.46750071133528</v>
      </c>
      <c r="G6">
        <v>427.19693429841828</v>
      </c>
      <c r="H6">
        <v>477.39233609063956</v>
      </c>
      <c r="I6">
        <v>416.51081564240923</v>
      </c>
      <c r="J6">
        <v>176.30011475804844</v>
      </c>
      <c r="K6">
        <v>356.71271254590044</v>
      </c>
      <c r="L6">
        <v>584.18880256894454</v>
      </c>
      <c r="M6">
        <v>311.87132547039067</v>
      </c>
      <c r="N6">
        <v>504.0379694838295</v>
      </c>
      <c r="O6">
        <v>271.67700258735971</v>
      </c>
      <c r="P6">
        <v>17.137688185767239</v>
      </c>
      <c r="Q6">
        <v>82.936959393795121</v>
      </c>
      <c r="R6">
        <v>547.37003251603926</v>
      </c>
      <c r="S6">
        <v>348.94955197713057</v>
      </c>
    </row>
    <row r="7" spans="1:19" x14ac:dyDescent="0.25">
      <c r="A7">
        <v>20</v>
      </c>
      <c r="B7">
        <v>161.3277775817225</v>
      </c>
      <c r="C7">
        <v>198.29711701853054</v>
      </c>
      <c r="D7">
        <v>423.73260252070065</v>
      </c>
      <c r="E7">
        <v>471.31772714074776</v>
      </c>
      <c r="F7">
        <v>284.39727406615913</v>
      </c>
      <c r="G7">
        <v>454.79426618059307</v>
      </c>
      <c r="H7">
        <v>499.73769490501536</v>
      </c>
      <c r="I7">
        <v>450.05815960183577</v>
      </c>
      <c r="J7">
        <v>203.1228196800912</v>
      </c>
      <c r="K7">
        <v>396.3149557428352</v>
      </c>
      <c r="L7">
        <v>624.4657898985472</v>
      </c>
      <c r="M7">
        <v>331.87075744573718</v>
      </c>
      <c r="N7">
        <v>532.90469372185828</v>
      </c>
      <c r="O7">
        <v>312.38409223959832</v>
      </c>
      <c r="P7">
        <v>21.64058211354277</v>
      </c>
      <c r="Q7">
        <v>98.0382155318228</v>
      </c>
      <c r="R7">
        <v>584.08193084260654</v>
      </c>
      <c r="S7">
        <v>383.66856731609579</v>
      </c>
    </row>
    <row r="8" spans="1:19" x14ac:dyDescent="0.25">
      <c r="A8">
        <v>30</v>
      </c>
      <c r="B8">
        <v>228.03393810858873</v>
      </c>
      <c r="C8">
        <v>281.06571734801133</v>
      </c>
      <c r="D8">
        <v>508.15363281083728</v>
      </c>
      <c r="E8">
        <v>571.60437820091249</v>
      </c>
      <c r="F8">
        <v>351.17594218140732</v>
      </c>
      <c r="G8">
        <v>527.75370578827153</v>
      </c>
      <c r="H8">
        <v>560.11939050025558</v>
      </c>
      <c r="I8">
        <v>527.14386498406668</v>
      </c>
      <c r="J8">
        <v>286.18249082716846</v>
      </c>
      <c r="K8">
        <v>491.25579489239118</v>
      </c>
      <c r="L8">
        <v>725.41688969881227</v>
      </c>
      <c r="M8">
        <v>388.43516572954195</v>
      </c>
      <c r="N8">
        <v>611.88461228070776</v>
      </c>
      <c r="O8">
        <v>424.00049088569915</v>
      </c>
      <c r="P8">
        <v>45.866117659380812</v>
      </c>
      <c r="Q8">
        <v>147.83470366363636</v>
      </c>
      <c r="R8">
        <v>678.08736219904131</v>
      </c>
      <c r="S8">
        <v>468.69583855522274</v>
      </c>
    </row>
    <row r="9" spans="1:19" x14ac:dyDescent="0.25">
      <c r="A9">
        <v>40</v>
      </c>
      <c r="B9">
        <v>290.63292076104324</v>
      </c>
      <c r="C9">
        <v>354.04996518328784</v>
      </c>
      <c r="D9">
        <v>573.77364401413968</v>
      </c>
      <c r="E9">
        <v>661.73783487833634</v>
      </c>
      <c r="F9">
        <v>418.8506810385141</v>
      </c>
      <c r="G9">
        <v>592.12766375937713</v>
      </c>
      <c r="H9">
        <v>622.80948894404673</v>
      </c>
      <c r="I9">
        <v>600.82789531028186</v>
      </c>
      <c r="J9">
        <v>364.75247439588247</v>
      </c>
      <c r="K9">
        <v>565.7549159278168</v>
      </c>
      <c r="L9">
        <v>798.96517706522422</v>
      </c>
      <c r="M9">
        <v>435.48104375493472</v>
      </c>
      <c r="N9">
        <v>710.84188745385268</v>
      </c>
      <c r="O9">
        <v>515.7412779854202</v>
      </c>
      <c r="P9">
        <v>75.60308118412695</v>
      </c>
      <c r="Q9">
        <v>204.75631595524649</v>
      </c>
      <c r="R9">
        <v>754.07561346498505</v>
      </c>
      <c r="S9">
        <v>549.64272442757715</v>
      </c>
    </row>
    <row r="10" spans="1:19" x14ac:dyDescent="0.25">
      <c r="A10">
        <v>60</v>
      </c>
      <c r="B10">
        <v>420.52519261814206</v>
      </c>
      <c r="C10">
        <v>485.6564860985801</v>
      </c>
      <c r="D10">
        <v>718.24448322961177</v>
      </c>
      <c r="E10">
        <v>817.29767081961995</v>
      </c>
      <c r="F10">
        <v>532.8866534233224</v>
      </c>
      <c r="G10">
        <v>711.83560259814226</v>
      </c>
      <c r="H10">
        <v>748.62951446519446</v>
      </c>
      <c r="I10">
        <v>742.82915751846986</v>
      </c>
      <c r="J10">
        <v>495.51127014472769</v>
      </c>
      <c r="K10">
        <v>704.68449635894558</v>
      </c>
      <c r="L10">
        <v>928.5195943915727</v>
      </c>
      <c r="M10">
        <v>517.47136698640224</v>
      </c>
      <c r="N10">
        <v>889.86146532283738</v>
      </c>
      <c r="O10">
        <v>702.07694308619466</v>
      </c>
      <c r="P10">
        <v>138.94696798947072</v>
      </c>
      <c r="Q10">
        <v>339.92964755054692</v>
      </c>
      <c r="R10">
        <v>902.7923106301663</v>
      </c>
      <c r="S10">
        <v>700.20773397169137</v>
      </c>
    </row>
    <row r="11" spans="1:19" x14ac:dyDescent="0.25">
      <c r="A11">
        <v>80</v>
      </c>
      <c r="B11">
        <v>545.98111438326657</v>
      </c>
      <c r="C11">
        <v>627.82342918675192</v>
      </c>
      <c r="D11">
        <v>842.12028740636765</v>
      </c>
      <c r="E11">
        <v>955.64197508825612</v>
      </c>
      <c r="F11">
        <v>647.93701794732476</v>
      </c>
      <c r="G11">
        <v>815.02029903049811</v>
      </c>
      <c r="H11">
        <v>861.40844234899851</v>
      </c>
      <c r="I11">
        <v>890.82419718312349</v>
      </c>
      <c r="J11">
        <v>625.60828440210514</v>
      </c>
      <c r="K11">
        <v>834.26924384959773</v>
      </c>
      <c r="L11">
        <v>1046.2685761228934</v>
      </c>
      <c r="M11">
        <v>585.95247152730076</v>
      </c>
      <c r="N11">
        <v>1013.1923774038402</v>
      </c>
      <c r="O11">
        <v>858.23621599301066</v>
      </c>
      <c r="P11">
        <v>189.15195017880458</v>
      </c>
      <c r="Q11">
        <v>481.14341541229493</v>
      </c>
      <c r="R11">
        <v>1022.7852244893467</v>
      </c>
      <c r="S11">
        <v>848.68589180832714</v>
      </c>
    </row>
    <row r="12" spans="1:19" x14ac:dyDescent="0.25">
      <c r="A12">
        <v>100</v>
      </c>
      <c r="B12">
        <v>669.31536468414572</v>
      </c>
      <c r="C12">
        <v>750.91350338142161</v>
      </c>
      <c r="D12">
        <v>952.34657990658275</v>
      </c>
      <c r="E12">
        <v>1069.0037307191362</v>
      </c>
      <c r="F12">
        <v>747.06016247823277</v>
      </c>
      <c r="G12">
        <v>886.0551393343743</v>
      </c>
      <c r="H12">
        <v>978.21519413567319</v>
      </c>
      <c r="I12">
        <v>1022.2234159973618</v>
      </c>
      <c r="J12">
        <v>744.50030324380737</v>
      </c>
      <c r="K12">
        <v>950.76294273379835</v>
      </c>
      <c r="L12">
        <v>1148.5498401371792</v>
      </c>
      <c r="M12">
        <v>647.52951217749205</v>
      </c>
      <c r="N12">
        <v>1128.1509617106337</v>
      </c>
      <c r="O12">
        <v>1004.6433306668262</v>
      </c>
      <c r="P12">
        <v>223.24420069374835</v>
      </c>
      <c r="Q12">
        <v>627.74801445044716</v>
      </c>
      <c r="R12">
        <v>1134.35068846131</v>
      </c>
      <c r="S12">
        <v>984.19840328808539</v>
      </c>
    </row>
    <row r="13" spans="1:19" x14ac:dyDescent="0.25">
      <c r="A13">
        <v>120</v>
      </c>
      <c r="B13">
        <v>784.05112055226675</v>
      </c>
      <c r="C13">
        <v>874.88661127791318</v>
      </c>
      <c r="D13">
        <v>1062.1751594466266</v>
      </c>
      <c r="E13">
        <v>1183.2970920034327</v>
      </c>
      <c r="F13">
        <v>855.6935051102505</v>
      </c>
      <c r="G13">
        <v>981.74476445249684</v>
      </c>
      <c r="H13">
        <v>1101.5276824794635</v>
      </c>
      <c r="I13">
        <v>1152.7490334005631</v>
      </c>
      <c r="J13">
        <v>863.88001050713876</v>
      </c>
      <c r="K13">
        <v>1063.5440105995779</v>
      </c>
      <c r="L13">
        <v>1248.3176654341262</v>
      </c>
      <c r="M13">
        <v>717.27277657606942</v>
      </c>
      <c r="N13">
        <v>1246.9505965892654</v>
      </c>
      <c r="O13">
        <v>1142.6987901767061</v>
      </c>
      <c r="P13">
        <v>254.97453712296377</v>
      </c>
      <c r="Q13">
        <v>777.61585349496306</v>
      </c>
      <c r="R13">
        <v>1239.9610976792299</v>
      </c>
      <c r="S13">
        <v>1111.6902546248693</v>
      </c>
    </row>
    <row r="14" spans="1:19" x14ac:dyDescent="0.25">
      <c r="A14">
        <v>160</v>
      </c>
      <c r="B14">
        <v>1025.3256053872979</v>
      </c>
      <c r="C14">
        <v>1099.5873547824654</v>
      </c>
      <c r="D14">
        <v>1298.3136146640202</v>
      </c>
      <c r="E14">
        <v>1388.0707789651838</v>
      </c>
      <c r="F14">
        <v>1056.3770088563672</v>
      </c>
      <c r="G14">
        <v>1150.6636748244987</v>
      </c>
      <c r="H14">
        <v>1328.156610993793</v>
      </c>
      <c r="I14">
        <v>1397.8702674278672</v>
      </c>
      <c r="J14">
        <v>1104.2159264067675</v>
      </c>
      <c r="K14">
        <v>1272.2587633487819</v>
      </c>
      <c r="L14">
        <v>1418.2337890210858</v>
      </c>
      <c r="M14">
        <v>839.82811348687972</v>
      </c>
      <c r="N14">
        <v>1447.775398803873</v>
      </c>
      <c r="O14">
        <v>1431.2186651769898</v>
      </c>
      <c r="P14">
        <v>328.34965447163933</v>
      </c>
      <c r="Q14">
        <v>1078.953022952122</v>
      </c>
      <c r="R14">
        <v>1432.8437082838254</v>
      </c>
      <c r="S14">
        <v>1361.631355601213</v>
      </c>
    </row>
    <row r="15" spans="1:19" x14ac:dyDescent="0.25">
      <c r="A15">
        <v>200</v>
      </c>
      <c r="B15">
        <v>1222.531592583772</v>
      </c>
      <c r="C15">
        <v>1288.5089049002781</v>
      </c>
      <c r="D15">
        <v>1533.0195899532121</v>
      </c>
      <c r="E15">
        <v>1538.0039849161874</v>
      </c>
      <c r="F15">
        <v>1230.7769474673694</v>
      </c>
      <c r="G15">
        <v>1295.9785021671842</v>
      </c>
      <c r="H15">
        <v>1538.1136750592564</v>
      </c>
      <c r="I15">
        <v>1591.9724010681477</v>
      </c>
      <c r="J15">
        <v>1333.2521476853083</v>
      </c>
      <c r="K15">
        <v>1446.1516214013686</v>
      </c>
      <c r="L15">
        <v>1558.1272825929873</v>
      </c>
      <c r="M15">
        <v>941.1591905919405</v>
      </c>
      <c r="N15">
        <v>1629.4740743236305</v>
      </c>
      <c r="O15">
        <v>1669.4967693153915</v>
      </c>
      <c r="P15">
        <v>412.77886893173707</v>
      </c>
      <c r="Q15">
        <v>1351.5978079851143</v>
      </c>
      <c r="R15">
        <v>1596.1516351998432</v>
      </c>
      <c r="S15">
        <v>1571.9581108427815</v>
      </c>
    </row>
    <row r="18" spans="1:19" x14ac:dyDescent="0.25">
      <c r="B18">
        <f>SLOPE($A2:$A15,B2:B15)</f>
        <v>0.16473313541612022</v>
      </c>
      <c r="C18">
        <f t="shared" ref="C18:S18" si="0">SLOPE($A2:$A15,C2:C15)</f>
        <v>0.15632646755000948</v>
      </c>
      <c r="D18">
        <f t="shared" si="0"/>
        <v>0.15676126167014351</v>
      </c>
      <c r="E18">
        <f t="shared" si="0"/>
        <v>0.15229626669439189</v>
      </c>
      <c r="F18">
        <f t="shared" si="0"/>
        <v>0.18274882849617824</v>
      </c>
      <c r="G18">
        <f t="shared" si="0"/>
        <v>0.19609321642911298</v>
      </c>
      <c r="H18">
        <f t="shared" si="0"/>
        <v>0.17260620187360254</v>
      </c>
      <c r="I18">
        <f t="shared" si="0"/>
        <v>0.14795096745256889</v>
      </c>
      <c r="J18">
        <f t="shared" si="0"/>
        <v>0.15604084379005198</v>
      </c>
      <c r="K18">
        <f t="shared" si="0"/>
        <v>0.15384943042488602</v>
      </c>
      <c r="L18">
        <f t="shared" si="0"/>
        <v>0.16789294034469612</v>
      </c>
      <c r="M18">
        <f t="shared" si="0"/>
        <v>0.27027744099925766</v>
      </c>
      <c r="N18">
        <f t="shared" si="0"/>
        <v>0.15649414309223508</v>
      </c>
      <c r="O18">
        <f t="shared" si="0"/>
        <v>0.12429965754299684</v>
      </c>
      <c r="P18">
        <f t="shared" si="0"/>
        <v>0.46135662185055099</v>
      </c>
      <c r="Q18">
        <f t="shared" si="0"/>
        <v>0.14664827990673571</v>
      </c>
      <c r="R18">
        <f t="shared" si="0"/>
        <v>0.16158090391640897</v>
      </c>
      <c r="S18">
        <f t="shared" si="0"/>
        <v>0.14153636850813781</v>
      </c>
    </row>
    <row r="19" spans="1:19" x14ac:dyDescent="0.25">
      <c r="B19">
        <f>INTERCEPT($A2:$A15,B2:B15)</f>
        <v>-7.2542965875649585</v>
      </c>
      <c r="C19">
        <f t="shared" ref="C19:S19" si="1">INTERCEPT($A2:$A15,C2:C15)</f>
        <v>-12.040370738858563</v>
      </c>
      <c r="D19">
        <f t="shared" si="1"/>
        <v>-46.152111795813887</v>
      </c>
      <c r="E19">
        <f t="shared" si="1"/>
        <v>-53.869275463376248</v>
      </c>
      <c r="F19">
        <f t="shared" si="1"/>
        <v>-33.12838147221867</v>
      </c>
      <c r="G19">
        <f t="shared" si="1"/>
        <v>-68.877311213559949</v>
      </c>
      <c r="H19">
        <f t="shared" si="1"/>
        <v>-68.080441704756339</v>
      </c>
      <c r="I19">
        <f t="shared" si="1"/>
        <v>-46.23011978520767</v>
      </c>
      <c r="J19">
        <f t="shared" si="1"/>
        <v>-13.335859280099761</v>
      </c>
      <c r="K19">
        <f t="shared" si="1"/>
        <v>-39.078069052381331</v>
      </c>
      <c r="L19">
        <f t="shared" si="1"/>
        <v>-83.556930139241899</v>
      </c>
      <c r="M19">
        <f t="shared" si="1"/>
        <v>-69.578336297641044</v>
      </c>
      <c r="N19">
        <f t="shared" si="1"/>
        <v>-69.004626752235907</v>
      </c>
      <c r="O19">
        <f t="shared" si="1"/>
        <v>-19.260188329913326</v>
      </c>
      <c r="P19">
        <f t="shared" si="1"/>
        <v>3.4398320129291378</v>
      </c>
      <c r="Q19">
        <f t="shared" si="1"/>
        <v>4.9530851194601269</v>
      </c>
      <c r="R19">
        <f t="shared" si="1"/>
        <v>-75.040029949107719</v>
      </c>
      <c r="S19">
        <f t="shared" si="1"/>
        <v>-33.662087011061963</v>
      </c>
    </row>
    <row r="20" spans="1:19" x14ac:dyDescent="0.25">
      <c r="B20">
        <f>MAX(B37:B50)/MAX($A:$A)</f>
        <v>2.931417097988671E-2</v>
      </c>
      <c r="C20">
        <f t="shared" ref="C20:S20" si="2">MAX(C37:C50)/MAX($A:$A)</f>
        <v>5.3061626145334911E-2</v>
      </c>
      <c r="D20">
        <f t="shared" si="2"/>
        <v>3.2203997914401442E-2</v>
      </c>
      <c r="E20">
        <f t="shared" si="2"/>
        <v>9.8185051997715503E-2</v>
      </c>
      <c r="F20">
        <f t="shared" si="2"/>
        <v>4.102668091227301E-2</v>
      </c>
      <c r="G20">
        <f t="shared" si="2"/>
        <v>7.3723591503063235E-2</v>
      </c>
      <c r="H20">
        <f t="shared" si="2"/>
        <v>1.4370483333630446E-2</v>
      </c>
      <c r="I20">
        <f t="shared" si="2"/>
        <v>5.3481314446931091E-2</v>
      </c>
      <c r="J20">
        <f t="shared" si="2"/>
        <v>2.6470345851926282E-2</v>
      </c>
      <c r="K20">
        <f t="shared" si="2"/>
        <v>8.2942328958776693E-2</v>
      </c>
      <c r="L20">
        <f t="shared" si="2"/>
        <v>0.10979179616707001</v>
      </c>
      <c r="M20">
        <f t="shared" si="2"/>
        <v>7.6021193457593769E-2</v>
      </c>
      <c r="N20">
        <f t="shared" si="2"/>
        <v>7.0007388999731857E-2</v>
      </c>
      <c r="O20">
        <f t="shared" si="2"/>
        <v>5.87115581743528E-2</v>
      </c>
      <c r="P20">
        <f t="shared" si="2"/>
        <v>5.3531683819330739E-2</v>
      </c>
      <c r="Q20">
        <f t="shared" si="2"/>
        <v>3.3941120786804627E-2</v>
      </c>
      <c r="R20">
        <f t="shared" si="2"/>
        <v>8.5662029729313791E-2</v>
      </c>
      <c r="S20">
        <f t="shared" si="2"/>
        <v>5.5864222777309604E-2</v>
      </c>
    </row>
    <row r="22" spans="1:19" x14ac:dyDescent="0.25">
      <c r="A22">
        <v>0</v>
      </c>
      <c r="B22">
        <f>B2*B$18+B$19</f>
        <v>-0.86049732846615701</v>
      </c>
      <c r="C22">
        <f t="shared" ref="C22:S35" si="3">C2*C$18+C$19</f>
        <v>-1.3726410863418828</v>
      </c>
      <c r="D22">
        <f t="shared" si="3"/>
        <v>-4.3381291524368137</v>
      </c>
      <c r="E22">
        <f t="shared" si="3"/>
        <v>-5.0167345229267752</v>
      </c>
      <c r="F22">
        <f t="shared" si="3"/>
        <v>-2.8098712006827959</v>
      </c>
      <c r="G22">
        <f t="shared" si="3"/>
        <v>-7.7998314404806095</v>
      </c>
      <c r="H22">
        <f t="shared" si="3"/>
        <v>2.8740966667260892</v>
      </c>
      <c r="I22">
        <f t="shared" si="3"/>
        <v>-4.3640659903791459</v>
      </c>
      <c r="J22">
        <f t="shared" si="3"/>
        <v>-1.8915542708231481</v>
      </c>
      <c r="K22">
        <f t="shared" si="3"/>
        <v>-10.183076348240871</v>
      </c>
      <c r="L22">
        <f t="shared" si="3"/>
        <v>-10.221400473273164</v>
      </c>
      <c r="M22">
        <f t="shared" si="3"/>
        <v>-8.0108389711211814</v>
      </c>
      <c r="N22">
        <f t="shared" si="3"/>
        <v>2.8715362194188003</v>
      </c>
      <c r="O22">
        <f t="shared" si="3"/>
        <v>-5.683499081483399</v>
      </c>
      <c r="P22">
        <f t="shared" si="3"/>
        <v>6.2946411588501734</v>
      </c>
      <c r="Q22">
        <f t="shared" si="3"/>
        <v>6.7882241573609257</v>
      </c>
      <c r="R22">
        <f t="shared" si="3"/>
        <v>-6.2675120705127654</v>
      </c>
      <c r="S22">
        <f t="shared" si="3"/>
        <v>-6.6435724567559724</v>
      </c>
    </row>
    <row r="23" spans="1:19" x14ac:dyDescent="0.25">
      <c r="A23">
        <v>4</v>
      </c>
      <c r="B23">
        <f t="shared" ref="B23:Q35" si="4">B3*B$18+B$19</f>
        <v>2.9451205266805065</v>
      </c>
      <c r="C23">
        <f t="shared" si="4"/>
        <v>1.3411402597133737</v>
      </c>
      <c r="D23">
        <f t="shared" si="4"/>
        <v>0.39531975506886852</v>
      </c>
      <c r="E23">
        <f t="shared" si="4"/>
        <v>-1.4131888946275026</v>
      </c>
      <c r="F23">
        <f t="shared" si="4"/>
        <v>1.740851985465703</v>
      </c>
      <c r="G23">
        <f t="shared" si="4"/>
        <v>-2.6644625591444964</v>
      </c>
      <c r="H23">
        <f t="shared" si="4"/>
        <v>5.1750754903141001</v>
      </c>
      <c r="I23">
        <f t="shared" si="4"/>
        <v>-7.9458577100275818E-2</v>
      </c>
      <c r="J23">
        <f t="shared" si="4"/>
        <v>2.334915953518637</v>
      </c>
      <c r="K23">
        <f t="shared" si="4"/>
        <v>-3.7060981705450686</v>
      </c>
      <c r="L23">
        <f t="shared" si="4"/>
        <v>-5.16729980540687</v>
      </c>
      <c r="M23">
        <f t="shared" si="4"/>
        <v>-2.9347403580978977</v>
      </c>
      <c r="N23">
        <f t="shared" si="4"/>
        <v>4.141901585257429</v>
      </c>
      <c r="O23">
        <f t="shared" si="4"/>
        <v>-0.85649837119967742</v>
      </c>
      <c r="P23">
        <f t="shared" si="4"/>
        <v>6.3696867889383011</v>
      </c>
      <c r="Q23">
        <f t="shared" si="4"/>
        <v>8.2658965137751093</v>
      </c>
      <c r="R23">
        <f t="shared" si="3"/>
        <v>-2.1627365646290144</v>
      </c>
      <c r="S23">
        <f t="shared" si="3"/>
        <v>-0.49271911800072132</v>
      </c>
    </row>
    <row r="24" spans="1:19" x14ac:dyDescent="0.25">
      <c r="A24">
        <v>8</v>
      </c>
      <c r="B24">
        <f t="shared" si="4"/>
        <v>6.2957625887538384</v>
      </c>
      <c r="C24">
        <f t="shared" si="3"/>
        <v>4.3345506328076375</v>
      </c>
      <c r="D24">
        <f t="shared" si="3"/>
        <v>4.7734805898724559</v>
      </c>
      <c r="E24">
        <f t="shared" si="3"/>
        <v>2.4961266168573601</v>
      </c>
      <c r="F24">
        <f t="shared" si="3"/>
        <v>4.9111702797402259</v>
      </c>
      <c r="G24">
        <f t="shared" si="3"/>
        <v>2.6054229936888476</v>
      </c>
      <c r="H24">
        <f t="shared" si="3"/>
        <v>7.3468174736934202</v>
      </c>
      <c r="I24">
        <f t="shared" si="3"/>
        <v>5.2218854138591055</v>
      </c>
      <c r="J24">
        <f t="shared" si="3"/>
        <v>5.7180756320193211</v>
      </c>
      <c r="K24">
        <f t="shared" si="3"/>
        <v>1.9862248901172634</v>
      </c>
      <c r="L24">
        <f t="shared" si="3"/>
        <v>0.61183746966470665</v>
      </c>
      <c r="M24">
        <f t="shared" si="3"/>
        <v>2.6291767557998611</v>
      </c>
      <c r="N24">
        <f t="shared" si="3"/>
        <v>5.4089620130138485</v>
      </c>
      <c r="O24">
        <f t="shared" si="3"/>
        <v>3.9547675927035257</v>
      </c>
      <c r="P24">
        <f t="shared" si="3"/>
        <v>6.4457321896103803</v>
      </c>
      <c r="Q24">
        <f t="shared" si="3"/>
        <v>10.373606039591571</v>
      </c>
      <c r="R24">
        <f t="shared" si="3"/>
        <v>2.2811512497332558</v>
      </c>
      <c r="S24">
        <f t="shared" si="3"/>
        <v>4.2915786080695284</v>
      </c>
    </row>
    <row r="25" spans="1:19" x14ac:dyDescent="0.25">
      <c r="A25">
        <v>12</v>
      </c>
      <c r="B25">
        <f t="shared" si="4"/>
        <v>10.932431539986389</v>
      </c>
      <c r="C25">
        <f t="shared" si="3"/>
        <v>8.3431143754162669</v>
      </c>
      <c r="D25">
        <f t="shared" si="3"/>
        <v>9.5905741398840334</v>
      </c>
      <c r="E25">
        <f t="shared" si="3"/>
        <v>7.6128962808492204</v>
      </c>
      <c r="F25">
        <f t="shared" si="3"/>
        <v>10.293848413585373</v>
      </c>
      <c r="G25">
        <f t="shared" si="3"/>
        <v>8.6394425126788263</v>
      </c>
      <c r="H25">
        <f t="shared" si="3"/>
        <v>10.953780039523608</v>
      </c>
      <c r="I25">
        <f t="shared" si="3"/>
        <v>10.588617842906473</v>
      </c>
      <c r="J25">
        <f t="shared" si="3"/>
        <v>10.161201850743275</v>
      </c>
      <c r="K25">
        <f t="shared" si="3"/>
        <v>9.3172432719213845</v>
      </c>
      <c r="L25">
        <f t="shared" si="3"/>
        <v>7.8084659398096221</v>
      </c>
      <c r="M25">
        <f t="shared" si="3"/>
        <v>8.9583055345597415</v>
      </c>
      <c r="N25">
        <f t="shared" si="3"/>
        <v>7.2716811919715099</v>
      </c>
      <c r="O25">
        <f t="shared" si="3"/>
        <v>9.5007908108359516</v>
      </c>
      <c r="P25">
        <f t="shared" si="3"/>
        <v>8.6358468913218545</v>
      </c>
      <c r="Q25">
        <f t="shared" si="3"/>
        <v>13.855612626977514</v>
      </c>
      <c r="R25">
        <f t="shared" si="3"/>
        <v>8.1103689071942568</v>
      </c>
      <c r="S25">
        <f t="shared" si="3"/>
        <v>10.56268464199146</v>
      </c>
    </row>
    <row r="26" spans="1:19" x14ac:dyDescent="0.25">
      <c r="A26">
        <v>16</v>
      </c>
      <c r="B26">
        <f t="shared" si="4"/>
        <v>15.028406869386838</v>
      </c>
      <c r="C26">
        <f t="shared" si="3"/>
        <v>13.888070346415184</v>
      </c>
      <c r="D26">
        <f t="shared" si="3"/>
        <v>14.67153349974248</v>
      </c>
      <c r="E26">
        <f t="shared" si="3"/>
        <v>12.871676283834965</v>
      </c>
      <c r="F26">
        <f t="shared" si="3"/>
        <v>14.654497972601504</v>
      </c>
      <c r="G26">
        <f t="shared" si="3"/>
        <v>14.893109681673351</v>
      </c>
      <c r="H26">
        <f t="shared" si="3"/>
        <v>14.3204362314153</v>
      </c>
      <c r="I26">
        <f t="shared" si="3"/>
        <v>15.393058343545341</v>
      </c>
      <c r="J26">
        <f t="shared" si="3"/>
        <v>14.174159387029114</v>
      </c>
      <c r="K26">
        <f t="shared" si="3"/>
        <v>15.801978598121551</v>
      </c>
      <c r="L26">
        <f t="shared" si="3"/>
        <v>14.52424564050537</v>
      </c>
      <c r="M26">
        <f t="shared" si="3"/>
        <v>14.71344747154275</v>
      </c>
      <c r="N26">
        <f t="shared" si="3"/>
        <v>9.8743633680861223</v>
      </c>
      <c r="O26">
        <f t="shared" si="3"/>
        <v>14.509170054003349</v>
      </c>
      <c r="P26">
        <f t="shared" si="3"/>
        <v>11.346417940642809</v>
      </c>
      <c r="Q26">
        <f t="shared" si="3"/>
        <v>17.115647555254967</v>
      </c>
      <c r="R26">
        <f t="shared" si="3"/>
        <v>13.404514681588083</v>
      </c>
      <c r="S26">
        <f t="shared" si="3"/>
        <v>15.726965368322773</v>
      </c>
    </row>
    <row r="27" spans="1:19" x14ac:dyDescent="0.25">
      <c r="A27">
        <v>20</v>
      </c>
      <c r="B27">
        <f t="shared" si="4"/>
        <v>19.321734043186659</v>
      </c>
      <c r="C27">
        <f t="shared" si="3"/>
        <v>18.958717089999183</v>
      </c>
      <c r="D27">
        <f t="shared" si="3"/>
        <v>20.272745586104584</v>
      </c>
      <c r="E27">
        <f t="shared" si="3"/>
        <v>17.910654807045695</v>
      </c>
      <c r="F27">
        <f t="shared" si="3"/>
        <v>18.844887190878445</v>
      </c>
      <c r="G27">
        <f t="shared" si="3"/>
        <v>20.304759255310714</v>
      </c>
      <c r="H27">
        <f t="shared" si="3"/>
        <v>18.17738374586753</v>
      </c>
      <c r="I27">
        <f t="shared" si="3"/>
        <v>20.35642033780659</v>
      </c>
      <c r="J27">
        <f t="shared" si="3"/>
        <v>18.359596895796244</v>
      </c>
      <c r="K27">
        <f t="shared" si="3"/>
        <v>21.894761157517777</v>
      </c>
      <c r="L27">
        <f t="shared" si="3"/>
        <v>21.286467471498426</v>
      </c>
      <c r="M27">
        <f t="shared" si="3"/>
        <v>20.118842767278139</v>
      </c>
      <c r="N27">
        <f t="shared" si="3"/>
        <v>14.391836641596299</v>
      </c>
      <c r="O27">
        <f t="shared" si="3"/>
        <v>19.56904735734868</v>
      </c>
      <c r="P27">
        <f t="shared" si="3"/>
        <v>13.423857871712688</v>
      </c>
      <c r="Q27">
        <f t="shared" si="3"/>
        <v>19.330220792327761</v>
      </c>
      <c r="R27">
        <f t="shared" si="3"/>
        <v>19.336456397682113</v>
      </c>
      <c r="S27">
        <f t="shared" si="3"/>
        <v>20.640968717578247</v>
      </c>
    </row>
    <row r="28" spans="1:19" x14ac:dyDescent="0.25">
      <c r="A28">
        <v>30</v>
      </c>
      <c r="B28">
        <f t="shared" si="4"/>
        <v>30.310449018348365</v>
      </c>
      <c r="C28">
        <f t="shared" si="3"/>
        <v>31.897640003565463</v>
      </c>
      <c r="D28">
        <f t="shared" si="3"/>
        <v>33.506692805879801</v>
      </c>
      <c r="E28">
        <f t="shared" si="3"/>
        <v>33.183937362791973</v>
      </c>
      <c r="F28">
        <f t="shared" si="3"/>
        <v>31.048610557475136</v>
      </c>
      <c r="G28">
        <f t="shared" si="3"/>
        <v>34.611610436845993</v>
      </c>
      <c r="H28">
        <f t="shared" si="3"/>
        <v>28.599638885249988</v>
      </c>
      <c r="I28">
        <f t="shared" si="3"/>
        <v>31.761325025871351</v>
      </c>
      <c r="J28">
        <f t="shared" si="3"/>
        <v>31.320298066510418</v>
      </c>
      <c r="K28">
        <f t="shared" si="3"/>
        <v>36.501355184737683</v>
      </c>
      <c r="L28">
        <f t="shared" si="3"/>
        <v>38.235444447995803</v>
      </c>
      <c r="M28">
        <f t="shared" si="3"/>
        <v>35.406926289862099</v>
      </c>
      <c r="N28">
        <f t="shared" si="3"/>
        <v>26.751731317957962</v>
      </c>
      <c r="O28">
        <f t="shared" si="3"/>
        <v>33.442927485241633</v>
      </c>
      <c r="P28">
        <f t="shared" si="3"/>
        <v>24.600469113660971</v>
      </c>
      <c r="Q28">
        <f t="shared" si="3"/>
        <v>26.632790122254399</v>
      </c>
      <c r="R28">
        <f t="shared" si="3"/>
        <v>34.525938969306779</v>
      </c>
      <c r="S28">
        <f t="shared" si="3"/>
        <v>32.675419912920709</v>
      </c>
    </row>
    <row r="29" spans="1:19" x14ac:dyDescent="0.25">
      <c r="A29">
        <v>40</v>
      </c>
      <c r="B29">
        <f t="shared" si="4"/>
        <v>40.622575704546513</v>
      </c>
      <c r="C29">
        <f t="shared" si="3"/>
        <v>43.30700965444867</v>
      </c>
      <c r="D29">
        <f t="shared" si="3"/>
        <v>43.79336855291843</v>
      </c>
      <c r="E29">
        <f t="shared" si="3"/>
        <v>46.910926319024334</v>
      </c>
      <c r="F29">
        <f t="shared" si="3"/>
        <v>43.416089802396193</v>
      </c>
      <c r="G29">
        <f t="shared" si="3"/>
        <v>47.234906909672631</v>
      </c>
      <c r="H29">
        <f t="shared" si="3"/>
        <v>39.420338672715019</v>
      </c>
      <c r="I29">
        <f t="shared" si="3"/>
        <v>42.662948598439307</v>
      </c>
      <c r="J29">
        <f t="shared" si="3"/>
        <v>43.580424599143072</v>
      </c>
      <c r="K29">
        <f t="shared" si="3"/>
        <v>47.963002523192564</v>
      </c>
      <c r="L29">
        <f t="shared" si="3"/>
        <v>50.583682671259368</v>
      </c>
      <c r="M29">
        <f t="shared" si="3"/>
        <v>48.122365812128464</v>
      </c>
      <c r="N29">
        <f t="shared" si="3"/>
        <v>42.237965298921779</v>
      </c>
      <c r="O29">
        <f t="shared" si="3"/>
        <v>44.84627590446194</v>
      </c>
      <c r="P29">
        <f t="shared" si="3"/>
        <v>38.319814149530899</v>
      </c>
      <c r="Q29">
        <f t="shared" si="3"/>
        <v>34.98024665433713</v>
      </c>
      <c r="R29">
        <f t="shared" si="3"/>
        <v>46.80418929588518</v>
      </c>
      <c r="S29">
        <f t="shared" si="3"/>
        <v>44.132348181336432</v>
      </c>
    </row>
    <row r="30" spans="1:19" x14ac:dyDescent="0.25">
      <c r="A30">
        <v>60</v>
      </c>
      <c r="B30">
        <f t="shared" si="4"/>
        <v>62.02013691388948</v>
      </c>
      <c r="C30">
        <f t="shared" si="3"/>
        <v>63.880592175682743</v>
      </c>
      <c r="D30">
        <f t="shared" si="3"/>
        <v>66.440799582880288</v>
      </c>
      <c r="E30">
        <f t="shared" si="3"/>
        <v>70.602108580473896</v>
      </c>
      <c r="F30">
        <f t="shared" si="3"/>
        <v>64.256030162142451</v>
      </c>
      <c r="G30">
        <f t="shared" si="3"/>
        <v>70.708821668665621</v>
      </c>
      <c r="H30">
        <f t="shared" si="3"/>
        <v>61.137655397560081</v>
      </c>
      <c r="I30">
        <f t="shared" si="3"/>
        <v>63.67217272162663</v>
      </c>
      <c r="J30">
        <f t="shared" si="3"/>
        <v>63.984137420763936</v>
      </c>
      <c r="K30">
        <f t="shared" si="3"/>
        <v>69.337239341690122</v>
      </c>
      <c r="L30">
        <f t="shared" si="3"/>
        <v>72.334954730823853</v>
      </c>
      <c r="M30">
        <f t="shared" si="3"/>
        <v>70.282500561831483</v>
      </c>
      <c r="N30">
        <f t="shared" si="3"/>
        <v>70.253480734262183</v>
      </c>
      <c r="O30">
        <f t="shared" si="3"/>
        <v>68.007735264534745</v>
      </c>
      <c r="P30">
        <f t="shared" si="3"/>
        <v>67.543935780927995</v>
      </c>
      <c r="Q30">
        <f t="shared" si="3"/>
        <v>54.803183222050748</v>
      </c>
      <c r="R30">
        <f t="shared" si="3"/>
        <v>70.833967651298025</v>
      </c>
      <c r="S30">
        <f t="shared" si="3"/>
        <v>65.442772856603483</v>
      </c>
    </row>
    <row r="31" spans="1:19" x14ac:dyDescent="0.25">
      <c r="A31">
        <v>80</v>
      </c>
      <c r="B31">
        <f t="shared" si="4"/>
        <v>82.686884262777909</v>
      </c>
      <c r="C31">
        <f t="shared" si="3"/>
        <v>86.105048191039884</v>
      </c>
      <c r="D31">
        <f t="shared" si="3"/>
        <v>85.859726936032189</v>
      </c>
      <c r="E31">
        <f t="shared" si="3"/>
        <v>91.671429639020204</v>
      </c>
      <c r="F31">
        <f t="shared" si="3"/>
        <v>85.28134949696215</v>
      </c>
      <c r="G31">
        <f t="shared" si="3"/>
        <v>90.942640678347885</v>
      </c>
      <c r="H31">
        <f t="shared" si="3"/>
        <v>80.60399779096042</v>
      </c>
      <c r="I31">
        <f t="shared" si="3"/>
        <v>85.568182018193426</v>
      </c>
      <c r="J31">
        <f t="shared" si="3"/>
        <v>84.284585300051532</v>
      </c>
      <c r="K31">
        <f t="shared" si="3"/>
        <v>89.27377893487963</v>
      </c>
      <c r="L31">
        <f t="shared" si="3"/>
        <v>92.104177496289196</v>
      </c>
      <c r="M31">
        <f t="shared" si="3"/>
        <v>88.791398253948188</v>
      </c>
      <c r="N31">
        <f t="shared" si="3"/>
        <v>89.554046137162516</v>
      </c>
      <c r="O31">
        <f t="shared" si="3"/>
        <v>87.418279409015355</v>
      </c>
      <c r="P31">
        <f t="shared" si="3"/>
        <v>90.706336763866148</v>
      </c>
      <c r="Q31">
        <f t="shared" si="3"/>
        <v>75.511939378125163</v>
      </c>
      <c r="R31">
        <f t="shared" si="3"/>
        <v>90.222531136228184</v>
      </c>
      <c r="S31">
        <f t="shared" si="3"/>
        <v>86.457832119578995</v>
      </c>
    </row>
    <row r="32" spans="1:19" x14ac:dyDescent="0.25">
      <c r="A32">
        <v>100</v>
      </c>
      <c r="B32">
        <f t="shared" si="4"/>
        <v>103.00412201903831</v>
      </c>
      <c r="C32">
        <f t="shared" si="3"/>
        <v>105.34728468036118</v>
      </c>
      <c r="D32">
        <f t="shared" si="3"/>
        <v>103.13893961758816</v>
      </c>
      <c r="E32">
        <f t="shared" si="3"/>
        <v>108.9360018075252</v>
      </c>
      <c r="F32">
        <f t="shared" si="3"/>
        <v>103.39598803684294</v>
      </c>
      <c r="G32">
        <f t="shared" si="3"/>
        <v>104.87209099206336</v>
      </c>
      <c r="H32">
        <f t="shared" si="3"/>
        <v>100.76556757005096</v>
      </c>
      <c r="I32">
        <f t="shared" si="3"/>
        <v>105.00882356427178</v>
      </c>
      <c r="J32">
        <f t="shared" si="3"/>
        <v>102.83659624001351</v>
      </c>
      <c r="K32">
        <f t="shared" si="3"/>
        <v>107.19626815630207</v>
      </c>
      <c r="L32">
        <f t="shared" si="3"/>
        <v>109.27647965381979</v>
      </c>
      <c r="M32">
        <f t="shared" si="3"/>
        <v>105.43428322518915</v>
      </c>
      <c r="N32">
        <f t="shared" si="3"/>
        <v>107.54439127935063</v>
      </c>
      <c r="O32">
        <f t="shared" si="3"/>
        <v>105.61663362482889</v>
      </c>
      <c r="P32">
        <f t="shared" si="3"/>
        <v>106.43502229272332</v>
      </c>
      <c r="Q32">
        <f t="shared" si="3"/>
        <v>97.011251653486866</v>
      </c>
      <c r="R32">
        <f t="shared" si="3"/>
        <v>108.24937965067159</v>
      </c>
      <c r="S32">
        <f t="shared" si="3"/>
        <v>105.63778088184131</v>
      </c>
    </row>
    <row r="33" spans="1:19" x14ac:dyDescent="0.25">
      <c r="A33">
        <v>120</v>
      </c>
      <c r="B33">
        <f t="shared" si="4"/>
        <v>121.9049028275324</v>
      </c>
      <c r="C33">
        <f t="shared" si="3"/>
        <v>124.72756270901587</v>
      </c>
      <c r="D33">
        <f t="shared" si="3"/>
        <v>120.35580631372517</v>
      </c>
      <c r="E33">
        <f t="shared" si="3"/>
        <v>126.3424540390769</v>
      </c>
      <c r="F33">
        <f t="shared" si="3"/>
        <v>123.2486041384681</v>
      </c>
      <c r="G33">
        <f t="shared" si="3"/>
        <v>123.63617736037205</v>
      </c>
      <c r="H33">
        <f t="shared" si="3"/>
        <v>122.05006782665549</v>
      </c>
      <c r="I33">
        <f t="shared" si="3"/>
        <v>124.32021493641929</v>
      </c>
      <c r="J33">
        <f t="shared" si="3"/>
        <v>121.46470649279314</v>
      </c>
      <c r="K33">
        <f t="shared" si="3"/>
        <v>124.54757121016269</v>
      </c>
      <c r="L33">
        <f t="shared" si="3"/>
        <v>126.02679319472017</v>
      </c>
      <c r="M33">
        <f t="shared" si="3"/>
        <v>124.28431425377127</v>
      </c>
      <c r="N33">
        <f t="shared" si="3"/>
        <v>126.13583833935249</v>
      </c>
      <c r="O33">
        <f t="shared" si="3"/>
        <v>122.77687996384805</v>
      </c>
      <c r="P33">
        <f t="shared" si="3"/>
        <v>121.07402311788761</v>
      </c>
      <c r="Q33">
        <f t="shared" si="3"/>
        <v>118.98911246270465</v>
      </c>
      <c r="R33">
        <f t="shared" si="3"/>
        <v>125.31400503508493</v>
      </c>
      <c r="S33">
        <f t="shared" si="3"/>
        <v>123.68251453442909</v>
      </c>
    </row>
    <row r="34" spans="1:19" x14ac:dyDescent="0.25">
      <c r="A34">
        <v>160</v>
      </c>
      <c r="B34">
        <f t="shared" si="4"/>
        <v>161.65080521031621</v>
      </c>
      <c r="C34">
        <f t="shared" si="3"/>
        <v>159.85423619694325</v>
      </c>
      <c r="D34">
        <f t="shared" si="3"/>
        <v>157.37316848244245</v>
      </c>
      <c r="E34">
        <f t="shared" si="3"/>
        <v>157.52872208059767</v>
      </c>
      <c r="F34">
        <f t="shared" si="3"/>
        <v>159.92327934657933</v>
      </c>
      <c r="G34">
        <f t="shared" si="3"/>
        <v>156.76002981091895</v>
      </c>
      <c r="H34">
        <f t="shared" si="3"/>
        <v>161.1676264121981</v>
      </c>
      <c r="I34">
        <f t="shared" si="3"/>
        <v>160.58613865392647</v>
      </c>
      <c r="J34">
        <f t="shared" si="3"/>
        <v>158.96692560282619</v>
      </c>
      <c r="K34">
        <f t="shared" si="3"/>
        <v>156.65821704189864</v>
      </c>
      <c r="L34">
        <f t="shared" si="3"/>
        <v>154.55451079570761</v>
      </c>
      <c r="M34">
        <f t="shared" si="3"/>
        <v>157.40825709482695</v>
      </c>
      <c r="N34">
        <f t="shared" si="3"/>
        <v>157.5637436735951</v>
      </c>
      <c r="O34">
        <f t="shared" si="3"/>
        <v>158.63980162073156</v>
      </c>
      <c r="P34">
        <f t="shared" si="3"/>
        <v>154.92611938576033</v>
      </c>
      <c r="Q34">
        <f t="shared" si="3"/>
        <v>163.17969003556155</v>
      </c>
      <c r="R34">
        <f t="shared" si="3"/>
        <v>156.48015160633221</v>
      </c>
      <c r="S34">
        <f t="shared" si="3"/>
        <v>159.05827030754654</v>
      </c>
    </row>
    <row r="35" spans="1:19" x14ac:dyDescent="0.25">
      <c r="A35">
        <v>200</v>
      </c>
      <c r="B35">
        <f t="shared" si="4"/>
        <v>194.13716580402266</v>
      </c>
      <c r="C35">
        <f t="shared" si="3"/>
        <v>189.38767477093302</v>
      </c>
      <c r="D35">
        <f t="shared" si="3"/>
        <v>194.1659732902977</v>
      </c>
      <c r="E35">
        <f t="shared" si="3"/>
        <v>180.3629896004569</v>
      </c>
      <c r="F35">
        <f t="shared" si="3"/>
        <v>191.7946638175454</v>
      </c>
      <c r="G35">
        <f t="shared" si="3"/>
        <v>185.25528169938735</v>
      </c>
      <c r="H35">
        <f t="shared" si="3"/>
        <v>197.40751779707037</v>
      </c>
      <c r="I35">
        <f t="shared" si="3"/>
        <v>189.30373711061378</v>
      </c>
      <c r="J35">
        <f t="shared" si="3"/>
        <v>194.70593082961474</v>
      </c>
      <c r="K35">
        <f t="shared" si="3"/>
        <v>183.41153420824466</v>
      </c>
      <c r="L35">
        <f t="shared" si="3"/>
        <v>178.041640766586</v>
      </c>
      <c r="M35">
        <f t="shared" si="3"/>
        <v>184.79576130848125</v>
      </c>
      <c r="N35">
        <f t="shared" si="3"/>
        <v>185.99852220005363</v>
      </c>
      <c r="O35">
        <f t="shared" si="3"/>
        <v>188.25768836512944</v>
      </c>
      <c r="P35">
        <f t="shared" si="3"/>
        <v>193.87809655456672</v>
      </c>
      <c r="Q35">
        <f t="shared" si="3"/>
        <v>203.1625787861916</v>
      </c>
      <c r="R35">
        <f t="shared" si="3"/>
        <v>182.86759405413724</v>
      </c>
      <c r="S35">
        <f t="shared" si="3"/>
        <v>188.82715544453808</v>
      </c>
    </row>
    <row r="37" spans="1:19" x14ac:dyDescent="0.25">
      <c r="A37">
        <v>0</v>
      </c>
      <c r="B37">
        <f>ABS(B22-$A22)</f>
        <v>0.86049732846615701</v>
      </c>
      <c r="C37">
        <f t="shared" ref="C37:S37" si="5">ABS(C22-$A22)</f>
        <v>1.3726410863418828</v>
      </c>
      <c r="D37">
        <f t="shared" si="5"/>
        <v>4.3381291524368137</v>
      </c>
      <c r="E37">
        <f t="shared" si="5"/>
        <v>5.0167345229267752</v>
      </c>
      <c r="F37">
        <f t="shared" si="5"/>
        <v>2.8098712006827959</v>
      </c>
      <c r="G37">
        <f t="shared" si="5"/>
        <v>7.7998314404806095</v>
      </c>
      <c r="H37">
        <f t="shared" si="5"/>
        <v>2.8740966667260892</v>
      </c>
      <c r="I37">
        <f t="shared" si="5"/>
        <v>4.3640659903791459</v>
      </c>
      <c r="J37">
        <f t="shared" si="5"/>
        <v>1.8915542708231481</v>
      </c>
      <c r="K37">
        <f t="shared" si="5"/>
        <v>10.183076348240871</v>
      </c>
      <c r="L37">
        <f t="shared" si="5"/>
        <v>10.221400473273164</v>
      </c>
      <c r="M37">
        <f t="shared" si="5"/>
        <v>8.0108389711211814</v>
      </c>
      <c r="N37">
        <f t="shared" si="5"/>
        <v>2.8715362194188003</v>
      </c>
      <c r="O37">
        <f t="shared" si="5"/>
        <v>5.683499081483399</v>
      </c>
      <c r="P37">
        <f t="shared" si="5"/>
        <v>6.2946411588501734</v>
      </c>
      <c r="Q37">
        <f t="shared" si="5"/>
        <v>6.7882241573609257</v>
      </c>
      <c r="R37">
        <f t="shared" si="5"/>
        <v>6.2675120705127654</v>
      </c>
      <c r="S37">
        <f t="shared" si="5"/>
        <v>6.6435724567559724</v>
      </c>
    </row>
    <row r="38" spans="1:19" x14ac:dyDescent="0.25">
      <c r="A38">
        <v>4</v>
      </c>
      <c r="B38">
        <f t="shared" ref="B38:S47" si="6">ABS(B23-$A23)</f>
        <v>1.0548794733194935</v>
      </c>
      <c r="C38">
        <f t="shared" si="6"/>
        <v>2.6588597402866263</v>
      </c>
      <c r="D38">
        <f t="shared" si="6"/>
        <v>3.6046802449311315</v>
      </c>
      <c r="E38">
        <f t="shared" si="6"/>
        <v>5.4131888946275026</v>
      </c>
      <c r="F38">
        <f t="shared" si="6"/>
        <v>2.259148014534297</v>
      </c>
      <c r="G38">
        <f t="shared" si="6"/>
        <v>6.6644625591444964</v>
      </c>
      <c r="H38">
        <f t="shared" si="6"/>
        <v>1.1750754903141001</v>
      </c>
      <c r="I38">
        <f t="shared" si="6"/>
        <v>4.0794585771002758</v>
      </c>
      <c r="J38">
        <f t="shared" si="6"/>
        <v>1.665084046481363</v>
      </c>
      <c r="K38">
        <f t="shared" si="6"/>
        <v>7.7060981705450686</v>
      </c>
      <c r="L38">
        <f t="shared" si="6"/>
        <v>9.16729980540687</v>
      </c>
      <c r="M38">
        <f t="shared" si="6"/>
        <v>6.9347403580978977</v>
      </c>
      <c r="N38">
        <f t="shared" si="6"/>
        <v>0.14190158525742902</v>
      </c>
      <c r="O38">
        <f t="shared" si="6"/>
        <v>4.8564983711996774</v>
      </c>
      <c r="P38">
        <f t="shared" si="6"/>
        <v>2.3696867889383011</v>
      </c>
      <c r="Q38">
        <f t="shared" si="6"/>
        <v>4.2658965137751093</v>
      </c>
      <c r="R38">
        <f t="shared" si="6"/>
        <v>6.1627365646290144</v>
      </c>
      <c r="S38">
        <f t="shared" si="6"/>
        <v>4.4927191180007213</v>
      </c>
    </row>
    <row r="39" spans="1:19" x14ac:dyDescent="0.25">
      <c r="A39">
        <v>8</v>
      </c>
      <c r="B39">
        <f t="shared" si="6"/>
        <v>1.7042374112461616</v>
      </c>
      <c r="C39">
        <f t="shared" si="6"/>
        <v>3.6654493671923625</v>
      </c>
      <c r="D39">
        <f t="shared" si="6"/>
        <v>3.2265194101275441</v>
      </c>
      <c r="E39">
        <f t="shared" si="6"/>
        <v>5.5038733831426399</v>
      </c>
      <c r="F39">
        <f t="shared" si="6"/>
        <v>3.0888297202597741</v>
      </c>
      <c r="G39">
        <f t="shared" si="6"/>
        <v>5.3945770063111524</v>
      </c>
      <c r="H39">
        <f t="shared" si="6"/>
        <v>0.6531825263065798</v>
      </c>
      <c r="I39">
        <f t="shared" si="6"/>
        <v>2.7781145861408945</v>
      </c>
      <c r="J39">
        <f t="shared" si="6"/>
        <v>2.2819243679806789</v>
      </c>
      <c r="K39">
        <f t="shared" si="6"/>
        <v>6.0137751098827366</v>
      </c>
      <c r="L39">
        <f t="shared" si="6"/>
        <v>7.3881625303352934</v>
      </c>
      <c r="M39">
        <f t="shared" si="6"/>
        <v>5.3708232442001389</v>
      </c>
      <c r="N39">
        <f t="shared" si="6"/>
        <v>2.5910379869861515</v>
      </c>
      <c r="O39">
        <f t="shared" si="6"/>
        <v>4.0452324072964743</v>
      </c>
      <c r="P39">
        <f t="shared" si="6"/>
        <v>1.5542678103896197</v>
      </c>
      <c r="Q39">
        <f t="shared" si="6"/>
        <v>2.3736060395915715</v>
      </c>
      <c r="R39">
        <f t="shared" si="6"/>
        <v>5.7188487502667442</v>
      </c>
      <c r="S39">
        <f t="shared" si="6"/>
        <v>3.7084213919304716</v>
      </c>
    </row>
    <row r="40" spans="1:19" x14ac:dyDescent="0.25">
      <c r="A40">
        <v>12</v>
      </c>
      <c r="B40">
        <f t="shared" si="6"/>
        <v>1.0675684600136108</v>
      </c>
      <c r="C40">
        <f t="shared" si="6"/>
        <v>3.6568856245837331</v>
      </c>
      <c r="D40">
        <f t="shared" si="6"/>
        <v>2.4094258601159666</v>
      </c>
      <c r="E40">
        <f t="shared" si="6"/>
        <v>4.3871037191507796</v>
      </c>
      <c r="F40">
        <f t="shared" si="6"/>
        <v>1.7061515864146273</v>
      </c>
      <c r="G40">
        <f t="shared" si="6"/>
        <v>3.3605574873211737</v>
      </c>
      <c r="H40">
        <f t="shared" si="6"/>
        <v>1.0462199604763924</v>
      </c>
      <c r="I40">
        <f t="shared" si="6"/>
        <v>1.4113821570935272</v>
      </c>
      <c r="J40">
        <f t="shared" si="6"/>
        <v>1.8387981492567249</v>
      </c>
      <c r="K40">
        <f t="shared" si="6"/>
        <v>2.6827567280786155</v>
      </c>
      <c r="L40">
        <f t="shared" si="6"/>
        <v>4.1915340601903779</v>
      </c>
      <c r="M40">
        <f t="shared" si="6"/>
        <v>3.0416944654402585</v>
      </c>
      <c r="N40">
        <f t="shared" si="6"/>
        <v>4.7283188080284901</v>
      </c>
      <c r="O40">
        <f t="shared" si="6"/>
        <v>2.4992091891640484</v>
      </c>
      <c r="P40">
        <f t="shared" si="6"/>
        <v>3.3641531086781455</v>
      </c>
      <c r="Q40">
        <f t="shared" si="6"/>
        <v>1.8556126269775142</v>
      </c>
      <c r="R40">
        <f t="shared" si="6"/>
        <v>3.8896310928057432</v>
      </c>
      <c r="S40">
        <f t="shared" si="6"/>
        <v>1.43731535800854</v>
      </c>
    </row>
    <row r="41" spans="1:19" x14ac:dyDescent="0.25">
      <c r="A41">
        <v>16</v>
      </c>
      <c r="B41">
        <f t="shared" si="6"/>
        <v>0.97159313061316155</v>
      </c>
      <c r="C41">
        <f t="shared" si="6"/>
        <v>2.1119296535848164</v>
      </c>
      <c r="D41">
        <f t="shared" si="6"/>
        <v>1.3284665002575196</v>
      </c>
      <c r="E41">
        <f t="shared" si="6"/>
        <v>3.1283237161650348</v>
      </c>
      <c r="F41">
        <f t="shared" si="6"/>
        <v>1.3455020273984957</v>
      </c>
      <c r="G41">
        <f t="shared" si="6"/>
        <v>1.1068903183266485</v>
      </c>
      <c r="H41">
        <f t="shared" si="6"/>
        <v>1.6795637685846998</v>
      </c>
      <c r="I41">
        <f t="shared" si="6"/>
        <v>0.60694165645465858</v>
      </c>
      <c r="J41">
        <f t="shared" si="6"/>
        <v>1.825840612970886</v>
      </c>
      <c r="K41">
        <f t="shared" si="6"/>
        <v>0.19802140187844941</v>
      </c>
      <c r="L41">
        <f t="shared" si="6"/>
        <v>1.4757543594946299</v>
      </c>
      <c r="M41">
        <f t="shared" si="6"/>
        <v>1.2865525284572499</v>
      </c>
      <c r="N41">
        <f t="shared" si="6"/>
        <v>6.1256366319138777</v>
      </c>
      <c r="O41">
        <f t="shared" si="6"/>
        <v>1.4908299459966514</v>
      </c>
      <c r="P41">
        <f t="shared" si="6"/>
        <v>4.6535820593571913</v>
      </c>
      <c r="Q41">
        <f t="shared" si="6"/>
        <v>1.1156475552549665</v>
      </c>
      <c r="R41">
        <f t="shared" si="6"/>
        <v>2.5954853184119173</v>
      </c>
      <c r="S41">
        <f t="shared" si="6"/>
        <v>0.27303463167722697</v>
      </c>
    </row>
    <row r="42" spans="1:19" x14ac:dyDescent="0.25">
      <c r="A42">
        <v>20</v>
      </c>
      <c r="B42">
        <f t="shared" si="6"/>
        <v>0.67826595681334112</v>
      </c>
      <c r="C42">
        <f t="shared" si="6"/>
        <v>1.0412829100008167</v>
      </c>
      <c r="D42">
        <f t="shared" si="6"/>
        <v>0.27274558610458399</v>
      </c>
      <c r="E42">
        <f t="shared" si="6"/>
        <v>2.0893451929543048</v>
      </c>
      <c r="F42">
        <f t="shared" si="6"/>
        <v>1.1551128091215546</v>
      </c>
      <c r="G42">
        <f t="shared" si="6"/>
        <v>0.30475925531071368</v>
      </c>
      <c r="H42">
        <f t="shared" si="6"/>
        <v>1.8226162541324697</v>
      </c>
      <c r="I42">
        <f t="shared" si="6"/>
        <v>0.35642033780658977</v>
      </c>
      <c r="J42">
        <f t="shared" si="6"/>
        <v>1.6404031042037559</v>
      </c>
      <c r="K42">
        <f t="shared" si="6"/>
        <v>1.8947611575177774</v>
      </c>
      <c r="L42">
        <f t="shared" si="6"/>
        <v>1.2864674714984261</v>
      </c>
      <c r="M42">
        <f t="shared" si="6"/>
        <v>0.11884276727813869</v>
      </c>
      <c r="N42">
        <f t="shared" si="6"/>
        <v>5.6081633584037007</v>
      </c>
      <c r="O42">
        <f t="shared" si="6"/>
        <v>0.43095264265132016</v>
      </c>
      <c r="P42">
        <f t="shared" si="6"/>
        <v>6.5761421282873123</v>
      </c>
      <c r="Q42">
        <f t="shared" si="6"/>
        <v>0.66977920767223864</v>
      </c>
      <c r="R42">
        <f t="shared" si="6"/>
        <v>0.66354360231788689</v>
      </c>
      <c r="S42">
        <f t="shared" si="6"/>
        <v>0.64096871757824658</v>
      </c>
    </row>
    <row r="43" spans="1:19" x14ac:dyDescent="0.25">
      <c r="A43">
        <v>30</v>
      </c>
      <c r="B43">
        <f t="shared" si="6"/>
        <v>0.3104490183483648</v>
      </c>
      <c r="C43">
        <f t="shared" si="6"/>
        <v>1.8976400035654635</v>
      </c>
      <c r="D43">
        <f t="shared" si="6"/>
        <v>3.5066928058798013</v>
      </c>
      <c r="E43">
        <f t="shared" si="6"/>
        <v>3.1839373627919727</v>
      </c>
      <c r="F43">
        <f t="shared" si="6"/>
        <v>1.0486105574751363</v>
      </c>
      <c r="G43">
        <f t="shared" si="6"/>
        <v>4.6116104368459929</v>
      </c>
      <c r="H43">
        <f t="shared" si="6"/>
        <v>1.4003611147500123</v>
      </c>
      <c r="I43">
        <f t="shared" si="6"/>
        <v>1.7613250258713506</v>
      </c>
      <c r="J43">
        <f t="shared" si="6"/>
        <v>1.3202980665104178</v>
      </c>
      <c r="K43">
        <f t="shared" si="6"/>
        <v>6.5013551847376831</v>
      </c>
      <c r="L43">
        <f t="shared" si="6"/>
        <v>8.2354444479958033</v>
      </c>
      <c r="M43">
        <f t="shared" si="6"/>
        <v>5.4069262898620991</v>
      </c>
      <c r="N43">
        <f t="shared" si="6"/>
        <v>3.2482686820420383</v>
      </c>
      <c r="O43">
        <f t="shared" si="6"/>
        <v>3.4429274852416327</v>
      </c>
      <c r="P43">
        <f t="shared" si="6"/>
        <v>5.3995308863390292</v>
      </c>
      <c r="Q43">
        <f t="shared" si="6"/>
        <v>3.3672098777456014</v>
      </c>
      <c r="R43">
        <f t="shared" si="6"/>
        <v>4.5259389693067789</v>
      </c>
      <c r="S43">
        <f t="shared" si="6"/>
        <v>2.6754199129207095</v>
      </c>
    </row>
    <row r="44" spans="1:19" x14ac:dyDescent="0.25">
      <c r="A44">
        <v>40</v>
      </c>
      <c r="B44">
        <f t="shared" si="6"/>
        <v>0.62257570454651301</v>
      </c>
      <c r="C44">
        <f t="shared" si="6"/>
        <v>3.3070096544486702</v>
      </c>
      <c r="D44">
        <f t="shared" si="6"/>
        <v>3.7933685529184302</v>
      </c>
      <c r="E44">
        <f t="shared" si="6"/>
        <v>6.910926319024334</v>
      </c>
      <c r="F44">
        <f t="shared" si="6"/>
        <v>3.4160898023961934</v>
      </c>
      <c r="G44">
        <f t="shared" si="6"/>
        <v>7.2349069096726311</v>
      </c>
      <c r="H44">
        <f t="shared" si="6"/>
        <v>0.5796613272849811</v>
      </c>
      <c r="I44">
        <f t="shared" si="6"/>
        <v>2.6629485984393071</v>
      </c>
      <c r="J44">
        <f t="shared" si="6"/>
        <v>3.5804245991430719</v>
      </c>
      <c r="K44">
        <f t="shared" si="6"/>
        <v>7.9630025231925643</v>
      </c>
      <c r="L44">
        <f t="shared" si="6"/>
        <v>10.583682671259368</v>
      </c>
      <c r="M44">
        <f t="shared" si="6"/>
        <v>8.1223658121284643</v>
      </c>
      <c r="N44">
        <f t="shared" si="6"/>
        <v>2.2379652989217789</v>
      </c>
      <c r="O44">
        <f t="shared" si="6"/>
        <v>4.8462759044619403</v>
      </c>
      <c r="P44">
        <f t="shared" si="6"/>
        <v>1.6801858504691012</v>
      </c>
      <c r="Q44">
        <f t="shared" si="6"/>
        <v>5.0197533456628705</v>
      </c>
      <c r="R44">
        <f t="shared" si="6"/>
        <v>6.8041892958851804</v>
      </c>
      <c r="S44">
        <f t="shared" si="6"/>
        <v>4.1323481813364324</v>
      </c>
    </row>
    <row r="45" spans="1:19" x14ac:dyDescent="0.25">
      <c r="A45">
        <v>60</v>
      </c>
      <c r="B45">
        <f t="shared" si="6"/>
        <v>2.0201369138894805</v>
      </c>
      <c r="C45">
        <f t="shared" si="6"/>
        <v>3.8805921756827431</v>
      </c>
      <c r="D45">
        <f t="shared" si="6"/>
        <v>6.4407995828802882</v>
      </c>
      <c r="E45">
        <f t="shared" si="6"/>
        <v>10.602108580473896</v>
      </c>
      <c r="F45">
        <f t="shared" si="6"/>
        <v>4.2560301621424514</v>
      </c>
      <c r="G45">
        <f t="shared" si="6"/>
        <v>10.708821668665621</v>
      </c>
      <c r="H45">
        <f t="shared" si="6"/>
        <v>1.1376553975600814</v>
      </c>
      <c r="I45">
        <f t="shared" si="6"/>
        <v>3.6721727216266302</v>
      </c>
      <c r="J45">
        <f t="shared" si="6"/>
        <v>3.9841374207639362</v>
      </c>
      <c r="K45">
        <f t="shared" si="6"/>
        <v>9.3372393416901218</v>
      </c>
      <c r="L45">
        <f t="shared" si="6"/>
        <v>12.334954730823853</v>
      </c>
      <c r="M45">
        <f t="shared" si="6"/>
        <v>10.282500561831483</v>
      </c>
      <c r="N45">
        <f t="shared" si="6"/>
        <v>10.253480734262183</v>
      </c>
      <c r="O45">
        <f t="shared" si="6"/>
        <v>8.0077352645347446</v>
      </c>
      <c r="P45">
        <f t="shared" si="6"/>
        <v>7.5439357809279954</v>
      </c>
      <c r="Q45">
        <f t="shared" si="6"/>
        <v>5.1968167779492518</v>
      </c>
      <c r="R45">
        <f t="shared" si="6"/>
        <v>10.833967651298025</v>
      </c>
      <c r="S45">
        <f t="shared" si="6"/>
        <v>5.442772856603483</v>
      </c>
    </row>
    <row r="46" spans="1:19" x14ac:dyDescent="0.25">
      <c r="A46">
        <v>80</v>
      </c>
      <c r="B46">
        <f t="shared" si="6"/>
        <v>2.6868842627779088</v>
      </c>
      <c r="C46">
        <f t="shared" si="6"/>
        <v>6.1050481910398844</v>
      </c>
      <c r="D46">
        <f t="shared" si="6"/>
        <v>5.8597269360321889</v>
      </c>
      <c r="E46">
        <f t="shared" si="6"/>
        <v>11.671429639020204</v>
      </c>
      <c r="F46">
        <f t="shared" si="6"/>
        <v>5.2813494969621502</v>
      </c>
      <c r="G46">
        <f t="shared" si="6"/>
        <v>10.942640678347885</v>
      </c>
      <c r="H46">
        <f t="shared" si="6"/>
        <v>0.60399779096042039</v>
      </c>
      <c r="I46">
        <f t="shared" si="6"/>
        <v>5.5681820181934256</v>
      </c>
      <c r="J46">
        <f t="shared" si="6"/>
        <v>4.2845853000515319</v>
      </c>
      <c r="K46">
        <f t="shared" si="6"/>
        <v>9.2737789348796298</v>
      </c>
      <c r="L46">
        <f t="shared" si="6"/>
        <v>12.104177496289196</v>
      </c>
      <c r="M46">
        <f t="shared" si="6"/>
        <v>8.7913982539481879</v>
      </c>
      <c r="N46">
        <f t="shared" si="6"/>
        <v>9.5540461371625156</v>
      </c>
      <c r="O46">
        <f t="shared" si="6"/>
        <v>7.418279409015355</v>
      </c>
      <c r="P46">
        <f t="shared" si="6"/>
        <v>10.706336763866148</v>
      </c>
      <c r="Q46">
        <f t="shared" si="6"/>
        <v>4.4880606218748369</v>
      </c>
      <c r="R46">
        <f t="shared" si="6"/>
        <v>10.222531136228184</v>
      </c>
      <c r="S46">
        <f t="shared" si="6"/>
        <v>6.4578321195789954</v>
      </c>
    </row>
    <row r="47" spans="1:19" x14ac:dyDescent="0.25">
      <c r="A47">
        <v>100</v>
      </c>
      <c r="B47">
        <f t="shared" si="6"/>
        <v>3.0041220190383058</v>
      </c>
      <c r="C47">
        <f t="shared" ref="C47:S47" si="7">ABS(C32-$A32)</f>
        <v>5.3472846803611844</v>
      </c>
      <c r="D47">
        <f t="shared" si="7"/>
        <v>3.1389396175881643</v>
      </c>
      <c r="E47">
        <f t="shared" si="7"/>
        <v>8.9360018075252015</v>
      </c>
      <c r="F47">
        <f t="shared" si="7"/>
        <v>3.3959880368429367</v>
      </c>
      <c r="G47">
        <f t="shared" si="7"/>
        <v>4.872090992063363</v>
      </c>
      <c r="H47">
        <f t="shared" si="7"/>
        <v>0.76556757005096188</v>
      </c>
      <c r="I47">
        <f t="shared" si="7"/>
        <v>5.0088235642717791</v>
      </c>
      <c r="J47">
        <f t="shared" si="7"/>
        <v>2.8365962400135061</v>
      </c>
      <c r="K47">
        <f t="shared" si="7"/>
        <v>7.1962681563020681</v>
      </c>
      <c r="L47">
        <f t="shared" si="7"/>
        <v>9.2764796538197913</v>
      </c>
      <c r="M47">
        <f t="shared" si="7"/>
        <v>5.434283225189148</v>
      </c>
      <c r="N47">
        <f t="shared" si="7"/>
        <v>7.5443912793506342</v>
      </c>
      <c r="O47">
        <f t="shared" si="7"/>
        <v>5.6166336248288928</v>
      </c>
      <c r="P47">
        <f t="shared" si="7"/>
        <v>6.4350222927233176</v>
      </c>
      <c r="Q47">
        <f t="shared" si="7"/>
        <v>2.9887483465131339</v>
      </c>
      <c r="R47">
        <f t="shared" si="7"/>
        <v>8.2493796506715853</v>
      </c>
      <c r="S47">
        <f t="shared" si="7"/>
        <v>5.6377808818413087</v>
      </c>
    </row>
    <row r="48" spans="1:19" x14ac:dyDescent="0.25">
      <c r="A48">
        <v>120</v>
      </c>
      <c r="B48">
        <f t="shared" ref="B48:S48" si="8">ABS(B33-$A33)</f>
        <v>1.9049028275323963</v>
      </c>
      <c r="C48">
        <f t="shared" si="8"/>
        <v>4.7275627090158707</v>
      </c>
      <c r="D48">
        <f t="shared" si="8"/>
        <v>0.35580631372516791</v>
      </c>
      <c r="E48">
        <f t="shared" si="8"/>
        <v>6.3424540390768982</v>
      </c>
      <c r="F48">
        <f t="shared" si="8"/>
        <v>3.2486041384680959</v>
      </c>
      <c r="G48">
        <f t="shared" si="8"/>
        <v>3.6361773603720451</v>
      </c>
      <c r="H48">
        <f t="shared" si="8"/>
        <v>2.0500678266554928</v>
      </c>
      <c r="I48">
        <f t="shared" si="8"/>
        <v>4.3202149364192906</v>
      </c>
      <c r="J48">
        <f t="shared" si="8"/>
        <v>1.464706492793141</v>
      </c>
      <c r="K48">
        <f t="shared" si="8"/>
        <v>4.5475712101626868</v>
      </c>
      <c r="L48">
        <f t="shared" si="8"/>
        <v>6.0267931947201703</v>
      </c>
      <c r="M48">
        <f t="shared" si="8"/>
        <v>4.2843142537712708</v>
      </c>
      <c r="N48">
        <f t="shared" si="8"/>
        <v>6.1358383393524889</v>
      </c>
      <c r="O48">
        <f t="shared" si="8"/>
        <v>2.7768799638480459</v>
      </c>
      <c r="P48">
        <f t="shared" si="8"/>
        <v>1.0740231178876058</v>
      </c>
      <c r="Q48">
        <f t="shared" si="8"/>
        <v>1.0108875372953463</v>
      </c>
      <c r="R48">
        <f t="shared" si="8"/>
        <v>5.3140050350849322</v>
      </c>
      <c r="S48">
        <f t="shared" si="8"/>
        <v>3.6825145344290888</v>
      </c>
    </row>
    <row r="49" spans="1:19" x14ac:dyDescent="0.25">
      <c r="A49">
        <v>160</v>
      </c>
      <c r="B49">
        <f t="shared" ref="B49:S49" si="9">ABS(B34-$A34)</f>
        <v>1.6508052103162072</v>
      </c>
      <c r="C49">
        <f t="shared" si="9"/>
        <v>0.14576380305675229</v>
      </c>
      <c r="D49">
        <f t="shared" si="9"/>
        <v>2.6268315175575481</v>
      </c>
      <c r="E49">
        <f t="shared" si="9"/>
        <v>2.4712779194023256</v>
      </c>
      <c r="F49">
        <f t="shared" si="9"/>
        <v>7.672065342066503E-2</v>
      </c>
      <c r="G49">
        <f t="shared" si="9"/>
        <v>3.2399701890810491</v>
      </c>
      <c r="H49">
        <f t="shared" si="9"/>
        <v>1.1676264121981035</v>
      </c>
      <c r="I49">
        <f t="shared" si="9"/>
        <v>0.58613865392646858</v>
      </c>
      <c r="J49">
        <f t="shared" si="9"/>
        <v>1.0330743971738059</v>
      </c>
      <c r="K49">
        <f t="shared" si="9"/>
        <v>3.3417829581013621</v>
      </c>
      <c r="L49">
        <f t="shared" si="9"/>
        <v>5.4454892042923859</v>
      </c>
      <c r="M49">
        <f t="shared" si="9"/>
        <v>2.5917429051730494</v>
      </c>
      <c r="N49">
        <f t="shared" si="9"/>
        <v>2.4362563264049015</v>
      </c>
      <c r="O49">
        <f t="shared" si="9"/>
        <v>1.3601983792684393</v>
      </c>
      <c r="P49">
        <f t="shared" si="9"/>
        <v>5.0738806142396697</v>
      </c>
      <c r="Q49">
        <f t="shared" si="9"/>
        <v>3.1796900355615492</v>
      </c>
      <c r="R49">
        <f t="shared" si="9"/>
        <v>3.519848393667786</v>
      </c>
      <c r="S49">
        <f t="shared" si="9"/>
        <v>0.94172969245346394</v>
      </c>
    </row>
    <row r="50" spans="1:19" x14ac:dyDescent="0.25">
      <c r="A50">
        <v>200</v>
      </c>
      <c r="B50">
        <f t="shared" ref="B50:S50" si="10">ABS(B35-$A35)</f>
        <v>5.8628341959773422</v>
      </c>
      <c r="C50">
        <f t="shared" si="10"/>
        <v>10.612325229066983</v>
      </c>
      <c r="D50">
        <f t="shared" si="10"/>
        <v>5.8340267097023002</v>
      </c>
      <c r="E50">
        <f t="shared" si="10"/>
        <v>19.637010399543101</v>
      </c>
      <c r="F50">
        <f t="shared" si="10"/>
        <v>8.2053361824546016</v>
      </c>
      <c r="G50">
        <f t="shared" si="10"/>
        <v>14.744718300612647</v>
      </c>
      <c r="H50">
        <f t="shared" si="10"/>
        <v>2.5924822029296308</v>
      </c>
      <c r="I50">
        <f t="shared" si="10"/>
        <v>10.696262889386219</v>
      </c>
      <c r="J50">
        <f t="shared" si="10"/>
        <v>5.2940691703852565</v>
      </c>
      <c r="K50">
        <f t="shared" si="10"/>
        <v>16.58846579175534</v>
      </c>
      <c r="L50">
        <f t="shared" si="10"/>
        <v>21.958359233414001</v>
      </c>
      <c r="M50">
        <f t="shared" si="10"/>
        <v>15.204238691518754</v>
      </c>
      <c r="N50">
        <f t="shared" si="10"/>
        <v>14.001477799946372</v>
      </c>
      <c r="O50">
        <f t="shared" si="10"/>
        <v>11.742311634870561</v>
      </c>
      <c r="P50">
        <f t="shared" si="10"/>
        <v>6.1219034454332757</v>
      </c>
      <c r="Q50">
        <f t="shared" si="10"/>
        <v>3.1625787861916024</v>
      </c>
      <c r="R50">
        <f t="shared" si="10"/>
        <v>17.132405945862757</v>
      </c>
      <c r="S50">
        <f t="shared" si="10"/>
        <v>11.172844555461921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49E6-BD2E-4347-9347-EFA2185A3FDB}">
  <dimension ref="A1:S50"/>
  <sheetViews>
    <sheetView topLeftCell="A7" workbookViewId="0">
      <selection activeCell="B20" sqref="B20:S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3.345071647580097</v>
      </c>
      <c r="C2">
        <v>19.660422910490169</v>
      </c>
      <c r="D2">
        <v>196.90863931038479</v>
      </c>
      <c r="E2">
        <v>360.61935398215411</v>
      </c>
      <c r="F2">
        <v>48.083436881295661</v>
      </c>
      <c r="G2">
        <v>279.0126887370298</v>
      </c>
      <c r="H2">
        <v>430.17321749717291</v>
      </c>
      <c r="I2">
        <v>275.99356668848429</v>
      </c>
      <c r="J2">
        <v>21.837456546633643</v>
      </c>
      <c r="K2">
        <v>61.900407267469248</v>
      </c>
      <c r="L2">
        <v>536.7616602980371</v>
      </c>
      <c r="M2">
        <v>222.60990678406139</v>
      </c>
      <c r="N2">
        <v>392.88162419745532</v>
      </c>
      <c r="O2">
        <v>3.4593122597073851</v>
      </c>
      <c r="P2">
        <v>2.7291463150561341</v>
      </c>
      <c r="Q2">
        <v>14.392293908237816</v>
      </c>
      <c r="R2">
        <v>506.54499224215868</v>
      </c>
      <c r="S2">
        <v>10.090626045307317</v>
      </c>
    </row>
    <row r="3" spans="1:19" x14ac:dyDescent="0.25">
      <c r="A3">
        <v>4</v>
      </c>
      <c r="B3">
        <v>3.3335444542925261</v>
      </c>
      <c r="C3">
        <v>40.465008781082574</v>
      </c>
      <c r="D3">
        <v>245.86982991718739</v>
      </c>
      <c r="E3">
        <v>453.48986246213803</v>
      </c>
      <c r="F3">
        <v>72.829449121324927</v>
      </c>
      <c r="G3">
        <v>359.12064348221617</v>
      </c>
      <c r="H3">
        <v>450.51429378235844</v>
      </c>
      <c r="I3">
        <v>325.07676366319072</v>
      </c>
      <c r="J3">
        <v>29.857205654763504</v>
      </c>
      <c r="K3">
        <v>134.11202622046724</v>
      </c>
      <c r="L3">
        <v>604.70698013740594</v>
      </c>
      <c r="M3">
        <v>277.93111086600811</v>
      </c>
      <c r="N3">
        <v>402.16518096008252</v>
      </c>
      <c r="O3">
        <v>25.4491460727473</v>
      </c>
      <c r="P3">
        <v>3.5503803722883047</v>
      </c>
      <c r="Q3">
        <v>23.681466230405633</v>
      </c>
      <c r="R3">
        <v>581.66365271237873</v>
      </c>
      <c r="S3">
        <v>51.36378383878079</v>
      </c>
    </row>
    <row r="4" spans="1:19" x14ac:dyDescent="0.25">
      <c r="A4">
        <v>8</v>
      </c>
      <c r="B4">
        <v>3.4019249018073672</v>
      </c>
      <c r="C4">
        <v>76.362441133988881</v>
      </c>
      <c r="D4">
        <v>302.11486020231717</v>
      </c>
      <c r="E4">
        <v>538.61713522402738</v>
      </c>
      <c r="F4">
        <v>113.28102760558038</v>
      </c>
      <c r="G4">
        <v>441.11390592892877</v>
      </c>
      <c r="H4">
        <v>474.49028256705822</v>
      </c>
      <c r="I4">
        <v>380.49385584106119</v>
      </c>
      <c r="J4">
        <v>55.715327847173036</v>
      </c>
      <c r="K4">
        <v>221.84422986482153</v>
      </c>
      <c r="L4">
        <v>681.70874797141039</v>
      </c>
      <c r="M4">
        <v>329.07540638795376</v>
      </c>
      <c r="N4">
        <v>421.1024279454391</v>
      </c>
      <c r="O4">
        <v>95.501043914302755</v>
      </c>
      <c r="P4">
        <v>5.7697859889773317</v>
      </c>
      <c r="Q4">
        <v>42.965849200671862</v>
      </c>
      <c r="R4">
        <v>650.95690326025056</v>
      </c>
      <c r="S4">
        <v>153.74744302660767</v>
      </c>
    </row>
    <row r="5" spans="1:19" x14ac:dyDescent="0.25">
      <c r="A5">
        <v>12</v>
      </c>
      <c r="B5">
        <v>18.003899338646249</v>
      </c>
      <c r="C5">
        <v>117.43632829281032</v>
      </c>
      <c r="D5">
        <v>376.31692548688505</v>
      </c>
      <c r="E5">
        <v>617.59947778386208</v>
      </c>
      <c r="F5">
        <v>181.78222523988396</v>
      </c>
      <c r="G5">
        <v>507.47739462889541</v>
      </c>
      <c r="H5">
        <v>516.02370590386249</v>
      </c>
      <c r="I5">
        <v>445.33672951666642</v>
      </c>
      <c r="J5">
        <v>89.993023684424884</v>
      </c>
      <c r="K5">
        <v>324.08934008537551</v>
      </c>
      <c r="L5">
        <v>745.58195381037808</v>
      </c>
      <c r="M5">
        <v>379.07169816903706</v>
      </c>
      <c r="N5">
        <v>442.51578239915489</v>
      </c>
      <c r="O5">
        <v>187.19846250112374</v>
      </c>
      <c r="P5">
        <v>6.7342450924890489</v>
      </c>
      <c r="Q5">
        <v>73.300221519386483</v>
      </c>
      <c r="R5">
        <v>714.84759905343572</v>
      </c>
      <c r="S5">
        <v>267.7877901660064</v>
      </c>
    </row>
    <row r="6" spans="1:19" x14ac:dyDescent="0.25">
      <c r="A6">
        <v>16</v>
      </c>
      <c r="B6">
        <v>47.986119090920361</v>
      </c>
      <c r="C6">
        <v>170.41774148597176</v>
      </c>
      <c r="D6">
        <v>430.7249191553579</v>
      </c>
      <c r="E6">
        <v>675.60527913980627</v>
      </c>
      <c r="F6">
        <v>233.856851429459</v>
      </c>
      <c r="G6">
        <v>556.90240334543171</v>
      </c>
      <c r="H6">
        <v>554.31612994402235</v>
      </c>
      <c r="I6">
        <v>500.69335496852483</v>
      </c>
      <c r="J6">
        <v>126.61011421512227</v>
      </c>
      <c r="K6">
        <v>394.9037687426835</v>
      </c>
      <c r="L6">
        <v>792.24336828543687</v>
      </c>
      <c r="M6">
        <v>417.14764573763728</v>
      </c>
      <c r="N6">
        <v>458.10692403848441</v>
      </c>
      <c r="O6">
        <v>251.5382275872272</v>
      </c>
      <c r="P6">
        <v>9.9988658001654969</v>
      </c>
      <c r="Q6">
        <v>100.46828739650746</v>
      </c>
      <c r="R6">
        <v>770.35646747113481</v>
      </c>
      <c r="S6">
        <v>350.29517922374697</v>
      </c>
    </row>
    <row r="7" spans="1:19" x14ac:dyDescent="0.25">
      <c r="A7">
        <v>20</v>
      </c>
      <c r="B7">
        <v>82.136088508062869</v>
      </c>
      <c r="C7">
        <v>213.89060495422692</v>
      </c>
      <c r="D7">
        <v>472.54795008835782</v>
      </c>
      <c r="E7">
        <v>724.54011713411262</v>
      </c>
      <c r="F7">
        <v>273.90114406361067</v>
      </c>
      <c r="G7">
        <v>601.57854884796188</v>
      </c>
      <c r="H7">
        <v>585.74178594136674</v>
      </c>
      <c r="I7">
        <v>539.11347185788929</v>
      </c>
      <c r="J7">
        <v>155.92486345152034</v>
      </c>
      <c r="K7">
        <v>452.24598249662051</v>
      </c>
      <c r="L7">
        <v>831.55372307254265</v>
      </c>
      <c r="M7">
        <v>449.21271792891361</v>
      </c>
      <c r="N7">
        <v>481.35085778001411</v>
      </c>
      <c r="O7">
        <v>318.70244326423256</v>
      </c>
      <c r="P7">
        <v>14.588513850506473</v>
      </c>
      <c r="Q7">
        <v>122.82675110447303</v>
      </c>
      <c r="R7">
        <v>815.24898415437258</v>
      </c>
      <c r="S7">
        <v>414.44291731757249</v>
      </c>
    </row>
    <row r="8" spans="1:19" x14ac:dyDescent="0.25">
      <c r="A8">
        <v>30</v>
      </c>
      <c r="B8">
        <v>199.52323844332136</v>
      </c>
      <c r="C8">
        <v>342.79842034017764</v>
      </c>
      <c r="D8">
        <v>593.80137996865199</v>
      </c>
      <c r="E8">
        <v>843.56901726242279</v>
      </c>
      <c r="F8">
        <v>400.90641840319415</v>
      </c>
      <c r="G8">
        <v>694.78864495794403</v>
      </c>
      <c r="H8">
        <v>666.34119177187813</v>
      </c>
      <c r="I8">
        <v>651.39199388097632</v>
      </c>
      <c r="J8">
        <v>259.97243619363832</v>
      </c>
      <c r="K8">
        <v>581.39200511900447</v>
      </c>
      <c r="L8">
        <v>922.6593194403448</v>
      </c>
      <c r="M8">
        <v>513.96822988914573</v>
      </c>
      <c r="N8">
        <v>588.38445814700924</v>
      </c>
      <c r="O8">
        <v>468.48863451389104</v>
      </c>
      <c r="P8">
        <v>27.044805727592223</v>
      </c>
      <c r="Q8">
        <v>198.68842849879832</v>
      </c>
      <c r="R8">
        <v>913.11817077393221</v>
      </c>
      <c r="S8">
        <v>577.24716518508706</v>
      </c>
    </row>
    <row r="9" spans="1:19" x14ac:dyDescent="0.25">
      <c r="A9">
        <v>40</v>
      </c>
      <c r="B9">
        <v>296.12964780342594</v>
      </c>
      <c r="C9">
        <v>441.83259205169139</v>
      </c>
      <c r="D9">
        <v>686.46986921869234</v>
      </c>
      <c r="E9">
        <v>943.58938506122956</v>
      </c>
      <c r="F9">
        <v>486.46482976394333</v>
      </c>
      <c r="G9">
        <v>772.70247154739047</v>
      </c>
      <c r="H9">
        <v>752.91277823470398</v>
      </c>
      <c r="I9">
        <v>744.63158550061996</v>
      </c>
      <c r="J9">
        <v>357.84767707521308</v>
      </c>
      <c r="K9">
        <v>688.13249958862514</v>
      </c>
      <c r="L9">
        <v>998.12357491237663</v>
      </c>
      <c r="M9">
        <v>567.41153634203249</v>
      </c>
      <c r="N9">
        <v>725.32978208880604</v>
      </c>
      <c r="O9">
        <v>620.86165130641859</v>
      </c>
      <c r="P9">
        <v>41.901797113558324</v>
      </c>
      <c r="Q9">
        <v>278.9790583737522</v>
      </c>
      <c r="R9">
        <v>1003.0828318943854</v>
      </c>
      <c r="S9">
        <v>686.87079165140005</v>
      </c>
    </row>
    <row r="10" spans="1:19" x14ac:dyDescent="0.25">
      <c r="A10">
        <v>60</v>
      </c>
      <c r="B10">
        <v>496.1289744725417</v>
      </c>
      <c r="C10">
        <v>651.63657781896188</v>
      </c>
      <c r="D10">
        <v>871.5601286089618</v>
      </c>
      <c r="E10">
        <v>1098.4280601476025</v>
      </c>
      <c r="F10">
        <v>659.3030706178572</v>
      </c>
      <c r="G10">
        <v>884.59423357356161</v>
      </c>
      <c r="H10">
        <v>893.57494603872965</v>
      </c>
      <c r="I10">
        <v>930.21567019141628</v>
      </c>
      <c r="J10">
        <v>541.58877403987663</v>
      </c>
      <c r="K10">
        <v>861.55544469801555</v>
      </c>
      <c r="L10">
        <v>1139.629485573485</v>
      </c>
      <c r="M10">
        <v>639.25444198611603</v>
      </c>
      <c r="N10">
        <v>952.35385112145866</v>
      </c>
      <c r="O10">
        <v>841.15916242749984</v>
      </c>
      <c r="P10">
        <v>117.31503342825387</v>
      </c>
      <c r="Q10">
        <v>462.57324912043214</v>
      </c>
      <c r="R10">
        <v>1139.7898731312889</v>
      </c>
      <c r="S10">
        <v>910.91438595624777</v>
      </c>
    </row>
    <row r="11" spans="1:19" x14ac:dyDescent="0.25">
      <c r="A11">
        <v>80</v>
      </c>
      <c r="B11">
        <v>657.34161287453139</v>
      </c>
      <c r="C11">
        <v>809.56771131317112</v>
      </c>
      <c r="D11">
        <v>1008.1556995789373</v>
      </c>
      <c r="E11">
        <v>1213.7450277803521</v>
      </c>
      <c r="F11">
        <v>805.22533293878803</v>
      </c>
      <c r="G11">
        <v>982.60101278346679</v>
      </c>
      <c r="H11">
        <v>1036.3723499740486</v>
      </c>
      <c r="I11">
        <v>1085.4004861839785</v>
      </c>
      <c r="J11">
        <v>694.7078637176819</v>
      </c>
      <c r="K11">
        <v>1003.7526300285987</v>
      </c>
      <c r="L11">
        <v>1245.3054871887266</v>
      </c>
      <c r="M11">
        <v>710.79478185071571</v>
      </c>
      <c r="N11">
        <v>1118.9568151394712</v>
      </c>
      <c r="O11">
        <v>1035.9274548586395</v>
      </c>
      <c r="P11">
        <v>187.90551233078796</v>
      </c>
      <c r="Q11">
        <v>640.57190537646886</v>
      </c>
      <c r="R11">
        <v>1249.2779580007561</v>
      </c>
      <c r="S11">
        <v>1060.3261290384125</v>
      </c>
    </row>
    <row r="12" spans="1:19" x14ac:dyDescent="0.25">
      <c r="A12">
        <v>100</v>
      </c>
      <c r="B12">
        <v>790.97377069160223</v>
      </c>
      <c r="C12">
        <v>936.32400270122503</v>
      </c>
      <c r="D12">
        <v>1120.9503236990138</v>
      </c>
      <c r="E12">
        <v>1304.1442221053076</v>
      </c>
      <c r="F12">
        <v>910.52337856843019</v>
      </c>
      <c r="G12">
        <v>1070.999747443072</v>
      </c>
      <c r="H12">
        <v>1154.0786158078627</v>
      </c>
      <c r="I12">
        <v>1199.2274889925338</v>
      </c>
      <c r="J12">
        <v>840.26464300044461</v>
      </c>
      <c r="K12">
        <v>1115.4959696654071</v>
      </c>
      <c r="L12">
        <v>1324.9369399433235</v>
      </c>
      <c r="M12">
        <v>774.82747033252804</v>
      </c>
      <c r="N12">
        <v>1242.621296614323</v>
      </c>
      <c r="O12">
        <v>1178.9378824741323</v>
      </c>
      <c r="P12">
        <v>241.70861566479084</v>
      </c>
      <c r="Q12">
        <v>783.4554382075778</v>
      </c>
      <c r="R12">
        <v>1334.2047503887604</v>
      </c>
      <c r="S12">
        <v>1185.5195284260551</v>
      </c>
    </row>
    <row r="13" spans="1:19" x14ac:dyDescent="0.25">
      <c r="A13">
        <v>120</v>
      </c>
      <c r="B13">
        <v>912.93805401747022</v>
      </c>
      <c r="C13">
        <v>1039.5903694574779</v>
      </c>
      <c r="D13">
        <v>1222.6315234251408</v>
      </c>
      <c r="E13">
        <v>1379.6713036407996</v>
      </c>
      <c r="F13">
        <v>1005.2129224673104</v>
      </c>
      <c r="G13">
        <v>1143.3889205585292</v>
      </c>
      <c r="H13">
        <v>1259.8243869765133</v>
      </c>
      <c r="I13">
        <v>1326.4134366566775</v>
      </c>
      <c r="J13">
        <v>968.94690190809627</v>
      </c>
      <c r="K13">
        <v>1214.7556837975089</v>
      </c>
      <c r="L13">
        <v>1391.0348365727316</v>
      </c>
      <c r="M13">
        <v>827.02049145106355</v>
      </c>
      <c r="N13">
        <v>1354.4088907917767</v>
      </c>
      <c r="O13">
        <v>1310.3349104684237</v>
      </c>
      <c r="P13">
        <v>282.92681987436151</v>
      </c>
      <c r="Q13">
        <v>930.10431904927134</v>
      </c>
      <c r="R13">
        <v>1410.4742053671159</v>
      </c>
      <c r="S13">
        <v>1302.5932098629878</v>
      </c>
    </row>
    <row r="14" spans="1:19" x14ac:dyDescent="0.25">
      <c r="A14">
        <v>160</v>
      </c>
      <c r="B14">
        <v>1118.1217803031791</v>
      </c>
      <c r="C14">
        <v>1190.0732247161134</v>
      </c>
      <c r="D14">
        <v>1405.1222061286828</v>
      </c>
      <c r="E14">
        <v>1485.8936470255244</v>
      </c>
      <c r="F14">
        <v>1149.3428348961145</v>
      </c>
      <c r="G14">
        <v>1242.7130200914278</v>
      </c>
      <c r="H14">
        <v>1415.412381724389</v>
      </c>
      <c r="I14">
        <v>1492.531453536137</v>
      </c>
      <c r="J14">
        <v>1192.3977496205755</v>
      </c>
      <c r="K14">
        <v>1358.8148800517151</v>
      </c>
      <c r="L14">
        <v>1495.3581072087559</v>
      </c>
      <c r="M14">
        <v>896.45818548559123</v>
      </c>
      <c r="N14">
        <v>1524.0190298277564</v>
      </c>
      <c r="O14">
        <v>1537.6660038591008</v>
      </c>
      <c r="P14">
        <v>352.34804168249661</v>
      </c>
      <c r="Q14">
        <v>1189.8194794539975</v>
      </c>
      <c r="R14">
        <v>1524.1816164787995</v>
      </c>
      <c r="S14">
        <v>1479.2331068440997</v>
      </c>
    </row>
    <row r="15" spans="1:19" x14ac:dyDescent="0.25">
      <c r="A15">
        <v>200</v>
      </c>
      <c r="B15">
        <v>1222.531592583772</v>
      </c>
      <c r="C15">
        <v>1288.5089049002781</v>
      </c>
      <c r="D15">
        <v>1533.0195899532121</v>
      </c>
      <c r="E15">
        <v>1538.0039849161874</v>
      </c>
      <c r="F15">
        <v>1230.7769474673694</v>
      </c>
      <c r="G15">
        <v>1295.9785021671842</v>
      </c>
      <c r="H15">
        <v>1538.1136750592564</v>
      </c>
      <c r="I15">
        <v>1591.9724010681477</v>
      </c>
      <c r="J15">
        <v>1333.2521476853083</v>
      </c>
      <c r="K15">
        <v>1446.1516214013686</v>
      </c>
      <c r="L15">
        <v>1558.1272825929873</v>
      </c>
      <c r="M15">
        <v>941.1591905919405</v>
      </c>
      <c r="N15">
        <v>1629.4740743236305</v>
      </c>
      <c r="O15">
        <v>1669.4967693153915</v>
      </c>
      <c r="P15">
        <v>412.77886893173707</v>
      </c>
      <c r="Q15">
        <v>1351.5978079851143</v>
      </c>
      <c r="R15">
        <v>1596.1516351998432</v>
      </c>
      <c r="S15">
        <v>1571.9581108427815</v>
      </c>
    </row>
    <row r="18" spans="1:19" x14ac:dyDescent="0.25">
      <c r="B18">
        <f>SLOPE($A2:$A15,B2:B15)</f>
        <v>0.13976611970255451</v>
      </c>
      <c r="C18">
        <f t="shared" ref="C18:S18" si="0">SLOPE($A2:$A15,C2:C15)</f>
        <v>0.13523587021444691</v>
      </c>
      <c r="D18">
        <f t="shared" si="0"/>
        <v>0.13781879350220211</v>
      </c>
      <c r="E18">
        <f t="shared" si="0"/>
        <v>0.14973397808599839</v>
      </c>
      <c r="F18">
        <f t="shared" si="0"/>
        <v>0.14709062644609636</v>
      </c>
      <c r="G18">
        <f t="shared" si="0"/>
        <v>0.17877022974518217</v>
      </c>
      <c r="H18">
        <f t="shared" si="0"/>
        <v>0.16390006463963228</v>
      </c>
      <c r="I18">
        <f t="shared" si="0"/>
        <v>0.13708549456257696</v>
      </c>
      <c r="J18">
        <f t="shared" si="0"/>
        <v>0.13737256650354979</v>
      </c>
      <c r="K18">
        <f t="shared" si="0"/>
        <v>0.12938358919453319</v>
      </c>
      <c r="L18">
        <f t="shared" si="0"/>
        <v>0.17667528328544138</v>
      </c>
      <c r="M18">
        <f t="shared" si="0"/>
        <v>0.25504916408350731</v>
      </c>
      <c r="N18">
        <f t="shared" si="0"/>
        <v>0.13586322669358347</v>
      </c>
      <c r="O18">
        <f t="shared" si="0"/>
        <v>0.10613063917226666</v>
      </c>
      <c r="P18">
        <f t="shared" si="0"/>
        <v>0.42832441217006656</v>
      </c>
      <c r="Q18">
        <f t="shared" si="0"/>
        <v>0.13690007354389419</v>
      </c>
      <c r="R18">
        <f t="shared" si="0"/>
        <v>0.16635220516046439</v>
      </c>
      <c r="S18">
        <f t="shared" si="0"/>
        <v>0.11242130334862642</v>
      </c>
    </row>
    <row r="19" spans="1:19" x14ac:dyDescent="0.25">
      <c r="B19">
        <f>INTERCEPT($A2:$A15,B2:B15)</f>
        <v>2.2930927385354778</v>
      </c>
      <c r="C19">
        <f t="shared" ref="C19:S19" si="1">INTERCEPT($A2:$A15,C2:C15)</f>
        <v>-10.174081150925311</v>
      </c>
      <c r="D19">
        <f t="shared" si="1"/>
        <v>-42.317014874463318</v>
      </c>
      <c r="E19">
        <f t="shared" si="1"/>
        <v>-80.222990932523572</v>
      </c>
      <c r="F19">
        <f t="shared" si="1"/>
        <v>-18.835370573554009</v>
      </c>
      <c r="G19">
        <f t="shared" si="1"/>
        <v>-77.615208425003544</v>
      </c>
      <c r="H19">
        <f t="shared" si="1"/>
        <v>-76.585849048069036</v>
      </c>
      <c r="I19">
        <f t="shared" si="1"/>
        <v>-51.778974502939768</v>
      </c>
      <c r="J19">
        <f t="shared" si="1"/>
        <v>-4.7232951486516228</v>
      </c>
      <c r="K19">
        <f t="shared" si="1"/>
        <v>-30.400839938934404</v>
      </c>
      <c r="L19">
        <f t="shared" si="1"/>
        <v>-119.33967848387388</v>
      </c>
      <c r="M19">
        <f t="shared" si="1"/>
        <v>-84.043290893981577</v>
      </c>
      <c r="N19">
        <f t="shared" si="1"/>
        <v>-53.155314456609993</v>
      </c>
      <c r="O19">
        <f t="shared" si="1"/>
        <v>-11.641953683990785</v>
      </c>
      <c r="P19">
        <f t="shared" si="1"/>
        <v>8.4801104279837745</v>
      </c>
      <c r="Q19">
        <f t="shared" si="1"/>
        <v>-4.416275693809979E-2</v>
      </c>
      <c r="R19">
        <f t="shared" si="1"/>
        <v>-108.13201001744886</v>
      </c>
      <c r="S19">
        <f t="shared" si="1"/>
        <v>-19.766440377884784</v>
      </c>
    </row>
    <row r="20" spans="1:19" x14ac:dyDescent="0.25">
      <c r="B20">
        <f>MAX(B37:B50)/MAX($A:$A)</f>
        <v>0.13419205176123228</v>
      </c>
      <c r="C20">
        <f t="shared" ref="C20:S20" si="2">MAX(C37:C50)/MAX($A:$A)</f>
        <v>0.17960729058836081</v>
      </c>
      <c r="D20">
        <f t="shared" si="2"/>
        <v>0.15519052285935517</v>
      </c>
      <c r="E20">
        <f t="shared" si="2"/>
        <v>0.2496576797945248</v>
      </c>
      <c r="F20">
        <f t="shared" si="2"/>
        <v>0.18899809177582214</v>
      </c>
      <c r="G20">
        <f t="shared" si="2"/>
        <v>0.22966416923879479</v>
      </c>
      <c r="H20">
        <f t="shared" si="2"/>
        <v>0.12244459141377277</v>
      </c>
      <c r="I20">
        <f t="shared" si="2"/>
        <v>0.16771325286269814</v>
      </c>
      <c r="J20">
        <f t="shared" si="2"/>
        <v>0.10785512912375524</v>
      </c>
      <c r="K20">
        <f t="shared" si="2"/>
        <v>0.21646276321265817</v>
      </c>
      <c r="L20">
        <f t="shared" si="2"/>
        <v>0.22028549718491447</v>
      </c>
      <c r="M20">
        <f t="shared" si="2"/>
        <v>0.22000713031998415</v>
      </c>
      <c r="N20">
        <f t="shared" si="2"/>
        <v>0.15884854452730748</v>
      </c>
      <c r="O20">
        <f t="shared" si="2"/>
        <v>0.17228597230257023</v>
      </c>
      <c r="P20">
        <f t="shared" si="2"/>
        <v>7.3583115903024923E-2</v>
      </c>
      <c r="Q20">
        <f t="shared" si="2"/>
        <v>7.5051617210048965E-2</v>
      </c>
      <c r="R20">
        <f t="shared" si="2"/>
        <v>0.21304332865736911</v>
      </c>
      <c r="S20">
        <f t="shared" si="2"/>
        <v>0.2152243037374737</v>
      </c>
    </row>
    <row r="22" spans="1:19" x14ac:dyDescent="0.25">
      <c r="A22">
        <v>0</v>
      </c>
      <c r="B22">
        <f>B2*B$18+B$19</f>
        <v>2.760620422844779</v>
      </c>
      <c r="C22">
        <f t="shared" ref="C22:S35" si="3">C2*C$18+C$19</f>
        <v>-7.515286749841124</v>
      </c>
      <c r="D22">
        <f t="shared" si="3"/>
        <v>-15.179303774545801</v>
      </c>
      <c r="E22">
        <f t="shared" si="3"/>
        <v>-26.226020485972811</v>
      </c>
      <c r="F22">
        <f t="shared" si="3"/>
        <v>-11.762747721002896</v>
      </c>
      <c r="G22">
        <f t="shared" si="3"/>
        <v>-27.736045957663727</v>
      </c>
      <c r="H22">
        <f t="shared" si="3"/>
        <v>-6.0804308940438005</v>
      </c>
      <c r="I22">
        <f t="shared" si="3"/>
        <v>-13.944259917359332</v>
      </c>
      <c r="J22">
        <f t="shared" si="3"/>
        <v>-1.723427696930814</v>
      </c>
      <c r="K22">
        <f t="shared" si="3"/>
        <v>-22.391943074065864</v>
      </c>
      <c r="L22">
        <f t="shared" si="3"/>
        <v>-24.507160093954326</v>
      </c>
      <c r="M22">
        <f t="shared" si="3"/>
        <v>-27.266820251999235</v>
      </c>
      <c r="N22">
        <f t="shared" si="3"/>
        <v>0.22285071547214841</v>
      </c>
      <c r="O22">
        <f t="shared" si="3"/>
        <v>-11.274814662771583</v>
      </c>
      <c r="P22">
        <f t="shared" si="3"/>
        <v>9.6490704191062964</v>
      </c>
      <c r="Q22">
        <f t="shared" si="3"/>
        <v>1.9261433375649977</v>
      </c>
      <c r="R22">
        <f t="shared" si="3"/>
        <v>-23.867133544975431</v>
      </c>
      <c r="S22">
        <f t="shared" si="3"/>
        <v>-18.632039046267739</v>
      </c>
    </row>
    <row r="23" spans="1:19" x14ac:dyDescent="0.25">
      <c r="A23">
        <v>4</v>
      </c>
      <c r="B23">
        <f t="shared" ref="B23:Q35" si="4">B3*B$18+B$19</f>
        <v>2.7590093117679135</v>
      </c>
      <c r="C23">
        <f t="shared" si="4"/>
        <v>-4.7017604751803734</v>
      </c>
      <c r="D23">
        <f t="shared" si="4"/>
        <v>-8.4315315566849165</v>
      </c>
      <c r="E23">
        <f t="shared" si="4"/>
        <v>-12.320149804395371</v>
      </c>
      <c r="F23">
        <f t="shared" si="4"/>
        <v>-8.1228412785742243</v>
      </c>
      <c r="G23">
        <f t="shared" si="4"/>
        <v>-13.415128483450104</v>
      </c>
      <c r="H23">
        <f t="shared" si="4"/>
        <v>-2.7465271760622016</v>
      </c>
      <c r="I23">
        <f t="shared" si="4"/>
        <v>-7.2156655853693223</v>
      </c>
      <c r="J23">
        <f t="shared" si="4"/>
        <v>-0.62173417923246088</v>
      </c>
      <c r="K23">
        <f t="shared" si="4"/>
        <v>-13.048944632379005</v>
      </c>
      <c r="L23">
        <f t="shared" si="4"/>
        <v>-12.50290146341392</v>
      </c>
      <c r="M23">
        <f t="shared" si="4"/>
        <v>-13.157193394805617</v>
      </c>
      <c r="N23">
        <f t="shared" si="4"/>
        <v>1.48414469243572</v>
      </c>
      <c r="O23">
        <f t="shared" si="4"/>
        <v>-8.9410195449017351</v>
      </c>
      <c r="P23">
        <f t="shared" si="4"/>
        <v>10.000825013924304</v>
      </c>
      <c r="Q23">
        <f t="shared" si="4"/>
        <v>3.1978317116316779</v>
      </c>
      <c r="R23">
        <f t="shared" si="3"/>
        <v>-11.370978727054123</v>
      </c>
      <c r="S23">
        <f t="shared" si="3"/>
        <v>-13.992056853811935</v>
      </c>
    </row>
    <row r="24" spans="1:19" x14ac:dyDescent="0.25">
      <c r="A24">
        <v>8</v>
      </c>
      <c r="B24">
        <f t="shared" si="4"/>
        <v>2.7685665815805871</v>
      </c>
      <c r="C24">
        <f t="shared" si="3"/>
        <v>0.15286002752915273</v>
      </c>
      <c r="D24">
        <f t="shared" si="3"/>
        <v>-0.67990934229351296</v>
      </c>
      <c r="E24">
        <f t="shared" si="3"/>
        <v>0.42629538985417526</v>
      </c>
      <c r="F24">
        <f t="shared" si="3"/>
        <v>-2.172793258591657</v>
      </c>
      <c r="G24">
        <f t="shared" si="3"/>
        <v>1.2428258817057269</v>
      </c>
      <c r="H24">
        <f t="shared" si="3"/>
        <v>1.183138935549195</v>
      </c>
      <c r="I24">
        <f t="shared" si="3"/>
        <v>0.38121390305396829</v>
      </c>
      <c r="J24">
        <f t="shared" si="3"/>
        <v>2.9304624313012342</v>
      </c>
      <c r="K24">
        <f t="shared" si="3"/>
        <v>-1.6978372369267447</v>
      </c>
      <c r="L24">
        <f t="shared" si="3"/>
        <v>1.1014076821386141</v>
      </c>
      <c r="M24">
        <f t="shared" si="3"/>
        <v>-0.11288357429350526</v>
      </c>
      <c r="N24">
        <f t="shared" si="3"/>
        <v>4.0570201725595965</v>
      </c>
      <c r="O24">
        <f t="shared" si="3"/>
        <v>-1.506366851747126</v>
      </c>
      <c r="P24">
        <f t="shared" si="3"/>
        <v>10.951450620059576</v>
      </c>
      <c r="Q24">
        <f t="shared" si="3"/>
        <v>5.8378651585097456</v>
      </c>
      <c r="R24">
        <f t="shared" si="3"/>
        <v>0.15610630432091455</v>
      </c>
      <c r="S24">
        <f t="shared" si="3"/>
        <v>-2.4819524463148674</v>
      </c>
    </row>
    <row r="25" spans="1:19" x14ac:dyDescent="0.25">
      <c r="A25">
        <v>12</v>
      </c>
      <c r="B25">
        <f t="shared" si="4"/>
        <v>4.8094278886134516</v>
      </c>
      <c r="C25">
        <f t="shared" si="3"/>
        <v>5.7075229005423651</v>
      </c>
      <c r="D25">
        <f t="shared" si="3"/>
        <v>9.5465297705972674</v>
      </c>
      <c r="E25">
        <f t="shared" si="3"/>
        <v>12.252635739889286</v>
      </c>
      <c r="F25">
        <f t="shared" si="3"/>
        <v>7.9030908137459122</v>
      </c>
      <c r="G25">
        <f t="shared" si="3"/>
        <v>13.10664200329056</v>
      </c>
      <c r="H25">
        <f t="shared" si="3"/>
        <v>7.9904697051566274</v>
      </c>
      <c r="I25">
        <f t="shared" si="3"/>
        <v>9.2702313097330133</v>
      </c>
      <c r="J25">
        <f t="shared" si="3"/>
        <v>7.6392774822925649</v>
      </c>
      <c r="K25">
        <f t="shared" si="3"/>
        <v>11.531002100999181</v>
      </c>
      <c r="L25">
        <f t="shared" si="3"/>
        <v>12.386224418087522</v>
      </c>
      <c r="M25">
        <f t="shared" si="3"/>
        <v>12.638628851746915</v>
      </c>
      <c r="N25">
        <f t="shared" si="3"/>
        <v>6.9663076029748439</v>
      </c>
      <c r="O25">
        <f t="shared" si="3"/>
        <v>8.2255387933190711</v>
      </c>
      <c r="P25">
        <f t="shared" si="3"/>
        <v>11.364551998633303</v>
      </c>
      <c r="Q25">
        <f t="shared" si="3"/>
        <v>9.9906429598496445</v>
      </c>
      <c r="R25">
        <f t="shared" si="3"/>
        <v>10.784464438753673</v>
      </c>
      <c r="S25">
        <f t="shared" si="3"/>
        <v>10.33861201342614</v>
      </c>
    </row>
    <row r="26" spans="1:19" x14ac:dyDescent="0.25">
      <c r="A26">
        <v>16</v>
      </c>
      <c r="B26">
        <f t="shared" si="4"/>
        <v>8.9999264034580904</v>
      </c>
      <c r="C26">
        <f t="shared" si="3"/>
        <v>12.872510418910732</v>
      </c>
      <c r="D26">
        <f t="shared" si="3"/>
        <v>17.044973814861649</v>
      </c>
      <c r="E26">
        <f t="shared" si="3"/>
        <v>20.938075128981012</v>
      </c>
      <c r="F26">
        <f t="shared" si="3"/>
        <v>15.562780201916802</v>
      </c>
      <c r="G26">
        <f t="shared" si="3"/>
        <v>21.94236216670339</v>
      </c>
      <c r="H26">
        <f t="shared" si="3"/>
        <v>14.266600480547027</v>
      </c>
      <c r="I26">
        <f t="shared" si="3"/>
        <v>16.858821687116354</v>
      </c>
      <c r="J26">
        <f t="shared" si="3"/>
        <v>12.669461186387295</v>
      </c>
      <c r="K26">
        <f t="shared" si="3"/>
        <v>20.693227047441894</v>
      </c>
      <c r="L26">
        <f t="shared" si="3"/>
        <v>20.63014303896793</v>
      </c>
      <c r="M26">
        <f t="shared" si="3"/>
        <v>22.349867450805846</v>
      </c>
      <c r="N26">
        <f t="shared" si="3"/>
        <v>9.084570413930841</v>
      </c>
      <c r="O26">
        <f t="shared" si="3"/>
        <v>15.053959186100716</v>
      </c>
      <c r="P26">
        <f t="shared" si="3"/>
        <v>12.762868744207044</v>
      </c>
      <c r="Q26">
        <f t="shared" si="3"/>
        <v>13.709953176472871</v>
      </c>
      <c r="R26">
        <f t="shared" si="3"/>
        <v>20.018487105999981</v>
      </c>
      <c r="S26">
        <f t="shared" si="3"/>
        <v>19.614200227189535</v>
      </c>
    </row>
    <row r="27" spans="1:19" x14ac:dyDescent="0.25">
      <c r="A27">
        <v>20</v>
      </c>
      <c r="B27">
        <f t="shared" si="4"/>
        <v>13.772935116853004</v>
      </c>
      <c r="C27">
        <f t="shared" si="3"/>
        <v>18.751600940754056</v>
      </c>
      <c r="D27">
        <f t="shared" si="3"/>
        <v>22.80897347865298</v>
      </c>
      <c r="E27">
        <f t="shared" si="3"/>
        <v>28.265283088862361</v>
      </c>
      <c r="F27">
        <f t="shared" si="3"/>
        <v>21.45292029106497</v>
      </c>
      <c r="G27">
        <f t="shared" si="3"/>
        <v>29.929126962319899</v>
      </c>
      <c r="H27">
        <f t="shared" si="3"/>
        <v>19.417267529854627</v>
      </c>
      <c r="I27">
        <f t="shared" si="3"/>
        <v>22.1256624120469</v>
      </c>
      <c r="J27">
        <f t="shared" si="3"/>
        <v>16.696503525399276</v>
      </c>
      <c r="K27">
        <f t="shared" si="3"/>
        <v>28.112368475286395</v>
      </c>
      <c r="L27">
        <f t="shared" si="3"/>
        <v>27.575311107031069</v>
      </c>
      <c r="M27">
        <f t="shared" si="3"/>
        <v>30.528037309468189</v>
      </c>
      <c r="N27">
        <f t="shared" si="3"/>
        <v>12.242566253106922</v>
      </c>
      <c r="O27">
        <f t="shared" si="3"/>
        <v>22.182140325405264</v>
      </c>
      <c r="P27">
        <f t="shared" si="3"/>
        <v>14.728727047436834</v>
      </c>
      <c r="Q27">
        <f t="shared" si="3"/>
        <v>16.770828502421846</v>
      </c>
      <c r="R27">
        <f t="shared" si="3"/>
        <v>27.486456251459515</v>
      </c>
      <c r="S27">
        <f t="shared" si="3"/>
        <v>26.825772550563734</v>
      </c>
    </row>
    <row r="28" spans="1:19" x14ac:dyDescent="0.25">
      <c r="A28">
        <v>30</v>
      </c>
      <c r="B28">
        <f t="shared" si="4"/>
        <v>30.179681566246057</v>
      </c>
      <c r="C28">
        <f t="shared" si="3"/>
        <v>36.184561531916373</v>
      </c>
      <c r="D28">
        <f t="shared" si="3"/>
        <v>39.519974892758988</v>
      </c>
      <c r="E28">
        <f t="shared" si="3"/>
        <v>46.087953812275245</v>
      </c>
      <c r="F28">
        <f t="shared" si="3"/>
        <v>40.134205655632634</v>
      </c>
      <c r="G28">
        <f t="shared" si="3"/>
        <v>46.592317258471908</v>
      </c>
      <c r="H28">
        <f t="shared" si="3"/>
        <v>32.627515355391395</v>
      </c>
      <c r="I28">
        <f t="shared" si="3"/>
        <v>37.517419132336975</v>
      </c>
      <c r="J28">
        <f t="shared" si="3"/>
        <v>30.989785631448811</v>
      </c>
      <c r="K28">
        <f t="shared" si="3"/>
        <v>44.821744412368808</v>
      </c>
      <c r="L28">
        <f t="shared" si="3"/>
        <v>43.671418154201575</v>
      </c>
      <c r="M28">
        <f t="shared" si="3"/>
        <v>47.043876504724949</v>
      </c>
      <c r="N28">
        <f t="shared" si="3"/>
        <v>26.784496563598402</v>
      </c>
      <c r="O28">
        <f t="shared" si="3"/>
        <v>38.079044541910896</v>
      </c>
      <c r="P28">
        <f t="shared" si="3"/>
        <v>20.064060943508363</v>
      </c>
      <c r="Q28">
        <f t="shared" si="3"/>
        <v>27.156297716868153</v>
      </c>
      <c r="R28">
        <f t="shared" si="3"/>
        <v>43.767211262884274</v>
      </c>
      <c r="S28">
        <f t="shared" si="3"/>
        <v>45.128438286522545</v>
      </c>
    </row>
    <row r="29" spans="1:19" x14ac:dyDescent="0.25">
      <c r="A29">
        <v>40</v>
      </c>
      <c r="B29">
        <f t="shared" si="4"/>
        <v>43.681984540904416</v>
      </c>
      <c r="C29">
        <f t="shared" si="3"/>
        <v>49.577533924289895</v>
      </c>
      <c r="D29">
        <f t="shared" si="3"/>
        <v>52.291434276871335</v>
      </c>
      <c r="E29">
        <f t="shared" si="3"/>
        <v>61.064401372415261</v>
      </c>
      <c r="F29">
        <f t="shared" si="3"/>
        <v>52.719045980418038</v>
      </c>
      <c r="G29">
        <f t="shared" si="3"/>
        <v>60.520989938193537</v>
      </c>
      <c r="H29">
        <f t="shared" si="3"/>
        <v>46.816603972604071</v>
      </c>
      <c r="I29">
        <f t="shared" si="3"/>
        <v>50.299214662328531</v>
      </c>
      <c r="J29">
        <f t="shared" si="3"/>
        <v>44.435158668503895</v>
      </c>
      <c r="K29">
        <f t="shared" si="3"/>
        <v>58.632212699247553</v>
      </c>
      <c r="L29">
        <f t="shared" si="3"/>
        <v>57.004086867647743</v>
      </c>
      <c r="M29">
        <f t="shared" si="3"/>
        <v>60.674547141392424</v>
      </c>
      <c r="N29">
        <f t="shared" si="3"/>
        <v>45.390330154928968</v>
      </c>
      <c r="O29">
        <f t="shared" si="3"/>
        <v>54.250490206708371</v>
      </c>
      <c r="P29">
        <f t="shared" si="3"/>
        <v>26.427673045518034</v>
      </c>
      <c r="Q29">
        <f t="shared" si="3"/>
        <v>38.148090851634926</v>
      </c>
      <c r="R29">
        <f t="shared" si="3"/>
        <v>58.733031026785568</v>
      </c>
      <c r="S29">
        <f t="shared" si="3"/>
        <v>57.45246925166844</v>
      </c>
    </row>
    <row r="30" spans="1:19" x14ac:dyDescent="0.25">
      <c r="A30">
        <v>60</v>
      </c>
      <c r="B30">
        <f t="shared" si="4"/>
        <v>71.635114372570357</v>
      </c>
      <c r="C30">
        <f t="shared" si="3"/>
        <v>77.950558513986152</v>
      </c>
      <c r="D30">
        <f t="shared" si="3"/>
        <v>77.80035051504791</v>
      </c>
      <c r="E30">
        <f t="shared" si="3"/>
        <v>84.249012154663262</v>
      </c>
      <c r="F30">
        <f t="shared" si="3"/>
        <v>78.141931101461523</v>
      </c>
      <c r="G30">
        <f t="shared" si="3"/>
        <v>80.523905942205403</v>
      </c>
      <c r="H30">
        <f t="shared" si="3"/>
        <v>69.871142368034668</v>
      </c>
      <c r="I30">
        <f t="shared" si="3"/>
        <v>75.740100695109504</v>
      </c>
      <c r="J30">
        <f t="shared" si="3"/>
        <v>69.67614473071734</v>
      </c>
      <c r="K30">
        <f t="shared" si="3"/>
        <v>81.070295786186989</v>
      </c>
      <c r="L30">
        <f t="shared" si="3"/>
        <v>82.004683720263415</v>
      </c>
      <c r="M30">
        <f t="shared" si="3"/>
        <v>78.998020171246225</v>
      </c>
      <c r="N30">
        <f t="shared" si="3"/>
        <v>76.234552710811982</v>
      </c>
      <c r="O30">
        <f t="shared" si="3"/>
        <v>77.630805870048249</v>
      </c>
      <c r="P30">
        <f t="shared" si="3"/>
        <v>58.729003159852319</v>
      </c>
      <c r="Q30">
        <f t="shared" si="3"/>
        <v>63.282149067087147</v>
      </c>
      <c r="R30">
        <f t="shared" si="3"/>
        <v>81.474548797506998</v>
      </c>
      <c r="S30">
        <f t="shared" si="3"/>
        <v>82.639742130330319</v>
      </c>
    </row>
    <row r="31" spans="1:19" x14ac:dyDescent="0.25">
      <c r="A31">
        <v>80</v>
      </c>
      <c r="B31">
        <f t="shared" si="4"/>
        <v>94.167179289027473</v>
      </c>
      <c r="C31">
        <f t="shared" si="3"/>
        <v>99.308512786029524</v>
      </c>
      <c r="D31">
        <f t="shared" si="3"/>
        <v>96.625787303874347</v>
      </c>
      <c r="E31">
        <f t="shared" si="3"/>
        <v>101.51588045912916</v>
      </c>
      <c r="F31">
        <f t="shared" si="3"/>
        <v>99.605728078678823</v>
      </c>
      <c r="G31">
        <f t="shared" si="3"/>
        <v>98.044600378145503</v>
      </c>
      <c r="H31">
        <f t="shared" si="3"/>
        <v>93.275646103405137</v>
      </c>
      <c r="I31">
        <f t="shared" si="3"/>
        <v>97.013687944052407</v>
      </c>
      <c r="J31">
        <f t="shared" si="3"/>
        <v>90.710507060444627</v>
      </c>
      <c r="K31">
        <f t="shared" si="3"/>
        <v>99.46827799761806</v>
      </c>
      <c r="L31">
        <f t="shared" si="3"/>
        <v>100.67502124210898</v>
      </c>
      <c r="M31">
        <f t="shared" si="3"/>
        <v>97.244324051962394</v>
      </c>
      <c r="N31">
        <f t="shared" si="3"/>
        <v>98.869768979014168</v>
      </c>
      <c r="O31">
        <f t="shared" si="3"/>
        <v>98.301689236256038</v>
      </c>
      <c r="P31">
        <f t="shared" si="3"/>
        <v>88.964628540583718</v>
      </c>
      <c r="Q31">
        <f t="shared" si="3"/>
        <v>87.650178199252906</v>
      </c>
      <c r="R31">
        <f t="shared" si="3"/>
        <v>99.688133154338942</v>
      </c>
      <c r="S31">
        <f t="shared" si="3"/>
        <v>99.436805023217403</v>
      </c>
    </row>
    <row r="32" spans="1:19" x14ac:dyDescent="0.25">
      <c r="A32">
        <v>100</v>
      </c>
      <c r="B32">
        <f t="shared" si="4"/>
        <v>112.84442745459886</v>
      </c>
      <c r="C32">
        <f t="shared" si="3"/>
        <v>116.450510157049</v>
      </c>
      <c r="D32">
        <f t="shared" si="3"/>
        <v>112.17100631363766</v>
      </c>
      <c r="E32">
        <f t="shared" si="3"/>
        <v>115.05171144117398</v>
      </c>
      <c r="F32">
        <f t="shared" si="3"/>
        <v>115.09408357389253</v>
      </c>
      <c r="G32">
        <f t="shared" si="3"/>
        <v>113.84766248242653</v>
      </c>
      <c r="H32">
        <f t="shared" si="3"/>
        <v>112.567710682057</v>
      </c>
      <c r="I32">
        <f t="shared" si="3"/>
        <v>112.61771891863904</v>
      </c>
      <c r="J32">
        <f t="shared" si="3"/>
        <v>110.70601540250848</v>
      </c>
      <c r="K32">
        <f t="shared" si="3"/>
        <v>113.92603234841206</v>
      </c>
      <c r="L32">
        <f t="shared" si="3"/>
        <v>114.74393071595864</v>
      </c>
      <c r="M32">
        <f t="shared" si="3"/>
        <v>113.57580772326827</v>
      </c>
      <c r="N32">
        <f t="shared" si="3"/>
        <v>115.67122445957639</v>
      </c>
      <c r="O32">
        <f t="shared" si="3"/>
        <v>113.47947732738746</v>
      </c>
      <c r="P32">
        <f t="shared" si="3"/>
        <v>112.00981114904586</v>
      </c>
      <c r="Q32">
        <f t="shared" si="3"/>
        <v>107.21094435204316</v>
      </c>
      <c r="R32">
        <f t="shared" si="3"/>
        <v>113.8158923452884</v>
      </c>
      <c r="S32">
        <f t="shared" si="3"/>
        <v>113.5112101530213</v>
      </c>
    </row>
    <row r="33" spans="1:19" x14ac:dyDescent="0.25">
      <c r="A33">
        <v>120</v>
      </c>
      <c r="B33">
        <f t="shared" si="4"/>
        <v>129.89090207735839</v>
      </c>
      <c r="C33">
        <f t="shared" si="3"/>
        <v>130.4158271292151</v>
      </c>
      <c r="D33">
        <f t="shared" si="3"/>
        <v>126.18458658174893</v>
      </c>
      <c r="E33">
        <f t="shared" si="3"/>
        <v>126.36068181270875</v>
      </c>
      <c r="F33">
        <f t="shared" si="3"/>
        <v>129.02202790387398</v>
      </c>
      <c r="G33">
        <f t="shared" si="3"/>
        <v>126.78869159134055</v>
      </c>
      <c r="H33">
        <f t="shared" si="3"/>
        <v>129.8994494119666</v>
      </c>
      <c r="I33">
        <f t="shared" si="3"/>
        <v>130.05306745558821</v>
      </c>
      <c r="J33">
        <f t="shared" si="3"/>
        <v>128.38342757212686</v>
      </c>
      <c r="K33">
        <f t="shared" si="3"/>
        <v>126.76861042524675</v>
      </c>
      <c r="L33">
        <f t="shared" si="3"/>
        <v>126.42179532753113</v>
      </c>
      <c r="M33">
        <f t="shared" si="3"/>
        <v>126.88759413054359</v>
      </c>
      <c r="N33">
        <f t="shared" si="3"/>
        <v>130.85904770883809</v>
      </c>
      <c r="O33">
        <f t="shared" si="3"/>
        <v>127.42472789375785</v>
      </c>
      <c r="P33">
        <f t="shared" si="3"/>
        <v>129.66457423781597</v>
      </c>
      <c r="Q33">
        <f t="shared" si="3"/>
        <v>127.28718692440077</v>
      </c>
      <c r="R33">
        <f t="shared" si="3"/>
        <v>126.5034843673246</v>
      </c>
      <c r="S33">
        <f t="shared" si="3"/>
        <v>126.67278600798318</v>
      </c>
    </row>
    <row r="34" spans="1:19" x14ac:dyDescent="0.25">
      <c r="A34">
        <v>160</v>
      </c>
      <c r="B34">
        <f t="shared" si="4"/>
        <v>158.56863532642296</v>
      </c>
      <c r="C34">
        <f t="shared" si="3"/>
        <v>150.76650701247132</v>
      </c>
      <c r="D34">
        <f t="shared" si="3"/>
        <v>151.33523229734428</v>
      </c>
      <c r="E34">
        <f t="shared" si="3"/>
        <v>142.26577584932053</v>
      </c>
      <c r="F34">
        <f t="shared" si="3"/>
        <v>150.22218701264777</v>
      </c>
      <c r="G34">
        <f t="shared" si="3"/>
        <v>144.54488368407019</v>
      </c>
      <c r="H34">
        <f t="shared" si="3"/>
        <v>155.4003318082942</v>
      </c>
      <c r="I34">
        <f t="shared" si="3"/>
        <v>152.82543795526342</v>
      </c>
      <c r="J34">
        <f t="shared" si="3"/>
        <v>159.079444009784</v>
      </c>
      <c r="K34">
        <f t="shared" si="3"/>
        <v>145.40750629309559</v>
      </c>
      <c r="L34">
        <f t="shared" si="3"/>
        <v>144.85313872041448</v>
      </c>
      <c r="M34">
        <f t="shared" si="3"/>
        <v>144.59761994993622</v>
      </c>
      <c r="N34">
        <f t="shared" si="3"/>
        <v>153.90282847821362</v>
      </c>
      <c r="O34">
        <f t="shared" si="3"/>
        <v>151.55152213904063</v>
      </c>
      <c r="P34">
        <f t="shared" si="3"/>
        <v>159.39937826091324</v>
      </c>
      <c r="Q34">
        <f t="shared" si="3"/>
        <v>162.84221148427204</v>
      </c>
      <c r="R34">
        <f t="shared" si="3"/>
        <v>145.41896294884066</v>
      </c>
      <c r="S34">
        <f t="shared" si="3"/>
        <v>146.53087344996686</v>
      </c>
    </row>
    <row r="35" spans="1:19" x14ac:dyDescent="0.25">
      <c r="A35">
        <v>200</v>
      </c>
      <c r="B35">
        <f t="shared" si="4"/>
        <v>173.16158964775354</v>
      </c>
      <c r="C35">
        <f t="shared" si="3"/>
        <v>164.07854188232784</v>
      </c>
      <c r="D35">
        <f t="shared" si="3"/>
        <v>168.96189542812897</v>
      </c>
      <c r="E35">
        <f t="shared" si="3"/>
        <v>150.06846404109504</v>
      </c>
      <c r="F35">
        <f t="shared" si="3"/>
        <v>162.20038164483557</v>
      </c>
      <c r="G35">
        <f t="shared" si="3"/>
        <v>154.06716615224104</v>
      </c>
      <c r="H35">
        <f t="shared" si="3"/>
        <v>175.51108171724545</v>
      </c>
      <c r="I35">
        <f t="shared" si="3"/>
        <v>166.45734942746037</v>
      </c>
      <c r="J35">
        <f t="shared" si="3"/>
        <v>178.42897417524895</v>
      </c>
      <c r="K35">
        <f t="shared" si="3"/>
        <v>156.70744735746837</v>
      </c>
      <c r="L35">
        <f t="shared" si="3"/>
        <v>155.9429005630171</v>
      </c>
      <c r="M35">
        <f t="shared" si="3"/>
        <v>155.99857393600317</v>
      </c>
      <c r="N35">
        <f t="shared" si="3"/>
        <v>168.2302910945385</v>
      </c>
      <c r="O35">
        <f t="shared" si="3"/>
        <v>165.54280553948595</v>
      </c>
      <c r="P35">
        <f t="shared" si="3"/>
        <v>185.28337681939502</v>
      </c>
      <c r="Q35">
        <f t="shared" si="3"/>
        <v>184.98967655799021</v>
      </c>
      <c r="R35">
        <f t="shared" si="3"/>
        <v>157.39133426852618</v>
      </c>
      <c r="S35">
        <f t="shared" si="3"/>
        <v>156.95513925250526</v>
      </c>
    </row>
    <row r="37" spans="1:19" x14ac:dyDescent="0.25">
      <c r="A37">
        <v>0</v>
      </c>
      <c r="B37">
        <f>ABS(B22-$A22)</f>
        <v>2.760620422844779</v>
      </c>
      <c r="C37">
        <f t="shared" ref="C37:S37" si="5">ABS(C22-$A22)</f>
        <v>7.515286749841124</v>
      </c>
      <c r="D37">
        <f t="shared" si="5"/>
        <v>15.179303774545801</v>
      </c>
      <c r="E37">
        <f t="shared" si="5"/>
        <v>26.226020485972811</v>
      </c>
      <c r="F37">
        <f t="shared" si="5"/>
        <v>11.762747721002896</v>
      </c>
      <c r="G37">
        <f t="shared" si="5"/>
        <v>27.736045957663727</v>
      </c>
      <c r="H37">
        <f t="shared" si="5"/>
        <v>6.0804308940438005</v>
      </c>
      <c r="I37">
        <f t="shared" si="5"/>
        <v>13.944259917359332</v>
      </c>
      <c r="J37">
        <f t="shared" si="5"/>
        <v>1.723427696930814</v>
      </c>
      <c r="K37">
        <f t="shared" si="5"/>
        <v>22.391943074065864</v>
      </c>
      <c r="L37">
        <f t="shared" si="5"/>
        <v>24.507160093954326</v>
      </c>
      <c r="M37">
        <f t="shared" si="5"/>
        <v>27.266820251999235</v>
      </c>
      <c r="N37">
        <f t="shared" si="5"/>
        <v>0.22285071547214841</v>
      </c>
      <c r="O37">
        <f t="shared" si="5"/>
        <v>11.274814662771583</v>
      </c>
      <c r="P37">
        <f t="shared" si="5"/>
        <v>9.6490704191062964</v>
      </c>
      <c r="Q37">
        <f t="shared" si="5"/>
        <v>1.9261433375649977</v>
      </c>
      <c r="R37">
        <f t="shared" si="5"/>
        <v>23.867133544975431</v>
      </c>
      <c r="S37">
        <f t="shared" si="5"/>
        <v>18.632039046267739</v>
      </c>
    </row>
    <row r="38" spans="1:19" x14ac:dyDescent="0.25">
      <c r="A38">
        <v>4</v>
      </c>
      <c r="B38">
        <f t="shared" ref="B38:S50" si="6">ABS(B23-$A23)</f>
        <v>1.2409906882320865</v>
      </c>
      <c r="C38">
        <f t="shared" si="6"/>
        <v>8.7017604751803734</v>
      </c>
      <c r="D38">
        <f t="shared" si="6"/>
        <v>12.431531556684916</v>
      </c>
      <c r="E38">
        <f t="shared" si="6"/>
        <v>16.320149804395371</v>
      </c>
      <c r="F38">
        <f t="shared" si="6"/>
        <v>12.122841278574224</v>
      </c>
      <c r="G38">
        <f t="shared" si="6"/>
        <v>17.415128483450104</v>
      </c>
      <c r="H38">
        <f t="shared" si="6"/>
        <v>6.7465271760622016</v>
      </c>
      <c r="I38">
        <f t="shared" si="6"/>
        <v>11.215665585369322</v>
      </c>
      <c r="J38">
        <f t="shared" si="6"/>
        <v>4.6217341792324609</v>
      </c>
      <c r="K38">
        <f t="shared" si="6"/>
        <v>17.048944632379005</v>
      </c>
      <c r="L38">
        <f t="shared" si="6"/>
        <v>16.50290146341392</v>
      </c>
      <c r="M38">
        <f t="shared" si="6"/>
        <v>17.157193394805617</v>
      </c>
      <c r="N38">
        <f t="shared" si="6"/>
        <v>2.51585530756428</v>
      </c>
      <c r="O38">
        <f t="shared" si="6"/>
        <v>12.941019544901735</v>
      </c>
      <c r="P38">
        <f t="shared" si="6"/>
        <v>6.0008250139243042</v>
      </c>
      <c r="Q38">
        <f t="shared" si="6"/>
        <v>0.8021682883683221</v>
      </c>
      <c r="R38">
        <f t="shared" si="6"/>
        <v>15.370978727054123</v>
      </c>
      <c r="S38">
        <f t="shared" si="6"/>
        <v>17.992056853811935</v>
      </c>
    </row>
    <row r="39" spans="1:19" x14ac:dyDescent="0.25">
      <c r="A39">
        <v>8</v>
      </c>
      <c r="B39">
        <f t="shared" si="6"/>
        <v>5.2314334184194129</v>
      </c>
      <c r="C39">
        <f t="shared" si="6"/>
        <v>7.8471399724708473</v>
      </c>
      <c r="D39">
        <f t="shared" si="6"/>
        <v>8.679909342293513</v>
      </c>
      <c r="E39">
        <f t="shared" si="6"/>
        <v>7.5737046101458247</v>
      </c>
      <c r="F39">
        <f t="shared" si="6"/>
        <v>10.172793258591657</v>
      </c>
      <c r="G39">
        <f t="shared" si="6"/>
        <v>6.7571741182942731</v>
      </c>
      <c r="H39">
        <f t="shared" si="6"/>
        <v>6.816861064450805</v>
      </c>
      <c r="I39">
        <f t="shared" si="6"/>
        <v>7.6187860969460317</v>
      </c>
      <c r="J39">
        <f t="shared" si="6"/>
        <v>5.0695375686987658</v>
      </c>
      <c r="K39">
        <f t="shared" si="6"/>
        <v>9.6978372369267447</v>
      </c>
      <c r="L39">
        <f t="shared" si="6"/>
        <v>6.8985923178613859</v>
      </c>
      <c r="M39">
        <f t="shared" si="6"/>
        <v>8.1128835742935053</v>
      </c>
      <c r="N39">
        <f t="shared" si="6"/>
        <v>3.9429798274404035</v>
      </c>
      <c r="O39">
        <f t="shared" si="6"/>
        <v>9.506366851747126</v>
      </c>
      <c r="P39">
        <f t="shared" si="6"/>
        <v>2.9514506200595765</v>
      </c>
      <c r="Q39">
        <f t="shared" si="6"/>
        <v>2.1621348414902544</v>
      </c>
      <c r="R39">
        <f t="shared" si="6"/>
        <v>7.8438936956790855</v>
      </c>
      <c r="S39">
        <f t="shared" si="6"/>
        <v>10.481952446314867</v>
      </c>
    </row>
    <row r="40" spans="1:19" x14ac:dyDescent="0.25">
      <c r="A40">
        <v>12</v>
      </c>
      <c r="B40">
        <f t="shared" si="6"/>
        <v>7.1905721113865484</v>
      </c>
      <c r="C40">
        <f t="shared" si="6"/>
        <v>6.2924770994576349</v>
      </c>
      <c r="D40">
        <f t="shared" si="6"/>
        <v>2.4534702294027326</v>
      </c>
      <c r="E40">
        <f t="shared" si="6"/>
        <v>0.25263573988928556</v>
      </c>
      <c r="F40">
        <f t="shared" si="6"/>
        <v>4.0969091862540878</v>
      </c>
      <c r="G40">
        <f t="shared" si="6"/>
        <v>1.1066420032905597</v>
      </c>
      <c r="H40">
        <f t="shared" si="6"/>
        <v>4.0095302948433726</v>
      </c>
      <c r="I40">
        <f t="shared" si="6"/>
        <v>2.7297686902669867</v>
      </c>
      <c r="J40">
        <f t="shared" si="6"/>
        <v>4.3607225177074351</v>
      </c>
      <c r="K40">
        <f t="shared" si="6"/>
        <v>0.46899789900081856</v>
      </c>
      <c r="L40">
        <f t="shared" si="6"/>
        <v>0.38622441808752228</v>
      </c>
      <c r="M40">
        <f t="shared" si="6"/>
        <v>0.63862885174691542</v>
      </c>
      <c r="N40">
        <f t="shared" si="6"/>
        <v>5.0336923970251561</v>
      </c>
      <c r="O40">
        <f t="shared" si="6"/>
        <v>3.7744612066809289</v>
      </c>
      <c r="P40">
        <f t="shared" si="6"/>
        <v>0.63544800136669721</v>
      </c>
      <c r="Q40">
        <f t="shared" si="6"/>
        <v>2.0093570401503555</v>
      </c>
      <c r="R40">
        <f t="shared" si="6"/>
        <v>1.2155355612463268</v>
      </c>
      <c r="S40">
        <f t="shared" si="6"/>
        <v>1.6613879865738603</v>
      </c>
    </row>
    <row r="41" spans="1:19" x14ac:dyDescent="0.25">
      <c r="A41">
        <v>16</v>
      </c>
      <c r="B41">
        <f t="shared" si="6"/>
        <v>7.0000735965419096</v>
      </c>
      <c r="C41">
        <f t="shared" si="6"/>
        <v>3.127489581089268</v>
      </c>
      <c r="D41">
        <f t="shared" si="6"/>
        <v>1.044973814861649</v>
      </c>
      <c r="E41">
        <f t="shared" si="6"/>
        <v>4.9380751289810121</v>
      </c>
      <c r="F41">
        <f t="shared" si="6"/>
        <v>0.43721979808319844</v>
      </c>
      <c r="G41">
        <f t="shared" si="6"/>
        <v>5.9423621667033899</v>
      </c>
      <c r="H41">
        <f t="shared" si="6"/>
        <v>1.7333995194529734</v>
      </c>
      <c r="I41">
        <f t="shared" si="6"/>
        <v>0.85882168711635387</v>
      </c>
      <c r="J41">
        <f t="shared" si="6"/>
        <v>3.330538813612705</v>
      </c>
      <c r="K41">
        <f t="shared" si="6"/>
        <v>4.6932270474418942</v>
      </c>
      <c r="L41">
        <f t="shared" si="6"/>
        <v>4.6301430389679297</v>
      </c>
      <c r="M41">
        <f t="shared" si="6"/>
        <v>6.3498674508058457</v>
      </c>
      <c r="N41">
        <f t="shared" si="6"/>
        <v>6.915429586069159</v>
      </c>
      <c r="O41">
        <f t="shared" si="6"/>
        <v>0.94604081389928396</v>
      </c>
      <c r="P41">
        <f t="shared" si="6"/>
        <v>3.2371312557929564</v>
      </c>
      <c r="Q41">
        <f t="shared" si="6"/>
        <v>2.2900468235271294</v>
      </c>
      <c r="R41">
        <f t="shared" si="6"/>
        <v>4.0184871059999807</v>
      </c>
      <c r="S41">
        <f t="shared" si="6"/>
        <v>3.614200227189535</v>
      </c>
    </row>
    <row r="42" spans="1:19" x14ac:dyDescent="0.25">
      <c r="A42">
        <v>20</v>
      </c>
      <c r="B42">
        <f t="shared" si="6"/>
        <v>6.2270648831469959</v>
      </c>
      <c r="C42">
        <f t="shared" si="6"/>
        <v>1.2483990592459442</v>
      </c>
      <c r="D42">
        <f t="shared" si="6"/>
        <v>2.8089734786529803</v>
      </c>
      <c r="E42">
        <f t="shared" si="6"/>
        <v>8.2652830888623612</v>
      </c>
      <c r="F42">
        <f t="shared" si="6"/>
        <v>1.4529202910649701</v>
      </c>
      <c r="G42">
        <f t="shared" si="6"/>
        <v>9.9291269623198986</v>
      </c>
      <c r="H42">
        <f t="shared" si="6"/>
        <v>0.58273247014537333</v>
      </c>
      <c r="I42">
        <f t="shared" si="6"/>
        <v>2.1256624120468999</v>
      </c>
      <c r="J42">
        <f t="shared" si="6"/>
        <v>3.303496474600724</v>
      </c>
      <c r="K42">
        <f t="shared" si="6"/>
        <v>8.1123684752863952</v>
      </c>
      <c r="L42">
        <f t="shared" si="6"/>
        <v>7.5753111070310695</v>
      </c>
      <c r="M42">
        <f t="shared" si="6"/>
        <v>10.528037309468189</v>
      </c>
      <c r="N42">
        <f t="shared" si="6"/>
        <v>7.7574337468930779</v>
      </c>
      <c r="O42">
        <f t="shared" si="6"/>
        <v>2.182140325405264</v>
      </c>
      <c r="P42">
        <f t="shared" si="6"/>
        <v>5.2712729525631659</v>
      </c>
      <c r="Q42">
        <f t="shared" si="6"/>
        <v>3.2291714975781538</v>
      </c>
      <c r="R42">
        <f t="shared" si="6"/>
        <v>7.486456251459515</v>
      </c>
      <c r="S42">
        <f t="shared" si="6"/>
        <v>6.8257725505637339</v>
      </c>
    </row>
    <row r="43" spans="1:19" x14ac:dyDescent="0.25">
      <c r="A43">
        <v>30</v>
      </c>
      <c r="B43">
        <f t="shared" si="6"/>
        <v>0.17968156624605669</v>
      </c>
      <c r="C43">
        <f t="shared" si="6"/>
        <v>6.1845615319163727</v>
      </c>
      <c r="D43">
        <f t="shared" si="6"/>
        <v>9.519974892758988</v>
      </c>
      <c r="E43">
        <f t="shared" si="6"/>
        <v>16.087953812275245</v>
      </c>
      <c r="F43">
        <f t="shared" si="6"/>
        <v>10.134205655632634</v>
      </c>
      <c r="G43">
        <f t="shared" si="6"/>
        <v>16.592317258471908</v>
      </c>
      <c r="H43">
        <f t="shared" si="6"/>
        <v>2.6275153553913952</v>
      </c>
      <c r="I43">
        <f t="shared" si="6"/>
        <v>7.5174191323369755</v>
      </c>
      <c r="J43">
        <f t="shared" si="6"/>
        <v>0.98978563144881093</v>
      </c>
      <c r="K43">
        <f t="shared" si="6"/>
        <v>14.821744412368808</v>
      </c>
      <c r="L43">
        <f t="shared" si="6"/>
        <v>13.671418154201575</v>
      </c>
      <c r="M43">
        <f t="shared" si="6"/>
        <v>17.043876504724949</v>
      </c>
      <c r="N43">
        <f t="shared" si="6"/>
        <v>3.2155034364015975</v>
      </c>
      <c r="O43">
        <f t="shared" si="6"/>
        <v>8.0790445419108963</v>
      </c>
      <c r="P43">
        <f t="shared" si="6"/>
        <v>9.9359390564916374</v>
      </c>
      <c r="Q43">
        <f t="shared" si="6"/>
        <v>2.8437022831318473</v>
      </c>
      <c r="R43">
        <f t="shared" si="6"/>
        <v>13.767211262884274</v>
      </c>
      <c r="S43">
        <f t="shared" si="6"/>
        <v>15.128438286522545</v>
      </c>
    </row>
    <row r="44" spans="1:19" x14ac:dyDescent="0.25">
      <c r="A44">
        <v>40</v>
      </c>
      <c r="B44">
        <f t="shared" si="6"/>
        <v>3.6819845409044163</v>
      </c>
      <c r="C44">
        <f t="shared" si="6"/>
        <v>9.5775339242898951</v>
      </c>
      <c r="D44">
        <f t="shared" si="6"/>
        <v>12.291434276871335</v>
      </c>
      <c r="E44">
        <f t="shared" si="6"/>
        <v>21.064401372415261</v>
      </c>
      <c r="F44">
        <f t="shared" si="6"/>
        <v>12.719045980418038</v>
      </c>
      <c r="G44">
        <f t="shared" si="6"/>
        <v>20.520989938193537</v>
      </c>
      <c r="H44">
        <f t="shared" si="6"/>
        <v>6.8166039726040708</v>
      </c>
      <c r="I44">
        <f t="shared" si="6"/>
        <v>10.299214662328531</v>
      </c>
      <c r="J44">
        <f t="shared" si="6"/>
        <v>4.4351586685038953</v>
      </c>
      <c r="K44">
        <f t="shared" si="6"/>
        <v>18.632212699247553</v>
      </c>
      <c r="L44">
        <f t="shared" si="6"/>
        <v>17.004086867647743</v>
      </c>
      <c r="M44">
        <f t="shared" si="6"/>
        <v>20.674547141392424</v>
      </c>
      <c r="N44">
        <f t="shared" si="6"/>
        <v>5.3903301549289679</v>
      </c>
      <c r="O44">
        <f t="shared" si="6"/>
        <v>14.250490206708371</v>
      </c>
      <c r="P44">
        <f t="shared" si="6"/>
        <v>13.572326954481966</v>
      </c>
      <c r="Q44">
        <f t="shared" si="6"/>
        <v>1.851909148365074</v>
      </c>
      <c r="R44">
        <f t="shared" si="6"/>
        <v>18.733031026785568</v>
      </c>
      <c r="S44">
        <f t="shared" si="6"/>
        <v>17.45246925166844</v>
      </c>
    </row>
    <row r="45" spans="1:19" x14ac:dyDescent="0.25">
      <c r="A45">
        <v>60</v>
      </c>
      <c r="B45">
        <f t="shared" si="6"/>
        <v>11.635114372570357</v>
      </c>
      <c r="C45">
        <f t="shared" si="6"/>
        <v>17.950558513986152</v>
      </c>
      <c r="D45">
        <f t="shared" si="6"/>
        <v>17.80035051504791</v>
      </c>
      <c r="E45">
        <f t="shared" si="6"/>
        <v>24.249012154663262</v>
      </c>
      <c r="F45">
        <f t="shared" si="6"/>
        <v>18.141931101461523</v>
      </c>
      <c r="G45">
        <f t="shared" si="6"/>
        <v>20.523905942205403</v>
      </c>
      <c r="H45">
        <f t="shared" si="6"/>
        <v>9.8711423680346684</v>
      </c>
      <c r="I45">
        <f t="shared" si="6"/>
        <v>15.740100695109504</v>
      </c>
      <c r="J45">
        <f t="shared" si="6"/>
        <v>9.6761447307173398</v>
      </c>
      <c r="K45">
        <f t="shared" si="6"/>
        <v>21.070295786186989</v>
      </c>
      <c r="L45">
        <f t="shared" si="6"/>
        <v>22.004683720263415</v>
      </c>
      <c r="M45">
        <f t="shared" si="6"/>
        <v>18.998020171246225</v>
      </c>
      <c r="N45">
        <f t="shared" si="6"/>
        <v>16.234552710811982</v>
      </c>
      <c r="O45">
        <f t="shared" si="6"/>
        <v>17.630805870048249</v>
      </c>
      <c r="P45">
        <f t="shared" si="6"/>
        <v>1.2709968401476814</v>
      </c>
      <c r="Q45">
        <f t="shared" si="6"/>
        <v>3.2821490670871469</v>
      </c>
      <c r="R45">
        <f t="shared" si="6"/>
        <v>21.474548797506998</v>
      </c>
      <c r="S45">
        <f t="shared" si="6"/>
        <v>22.639742130330319</v>
      </c>
    </row>
    <row r="46" spans="1:19" x14ac:dyDescent="0.25">
      <c r="A46">
        <v>80</v>
      </c>
      <c r="B46">
        <f t="shared" si="6"/>
        <v>14.167179289027473</v>
      </c>
      <c r="C46">
        <f t="shared" si="6"/>
        <v>19.308512786029524</v>
      </c>
      <c r="D46">
        <f t="shared" si="6"/>
        <v>16.625787303874347</v>
      </c>
      <c r="E46">
        <f t="shared" si="6"/>
        <v>21.515880459129164</v>
      </c>
      <c r="F46">
        <f t="shared" si="6"/>
        <v>19.605728078678823</v>
      </c>
      <c r="G46">
        <f t="shared" si="6"/>
        <v>18.044600378145503</v>
      </c>
      <c r="H46">
        <f t="shared" si="6"/>
        <v>13.275646103405137</v>
      </c>
      <c r="I46">
        <f t="shared" si="6"/>
        <v>17.013687944052407</v>
      </c>
      <c r="J46">
        <f t="shared" si="6"/>
        <v>10.710507060444627</v>
      </c>
      <c r="K46">
        <f t="shared" si="6"/>
        <v>19.46827799761806</v>
      </c>
      <c r="L46">
        <f t="shared" si="6"/>
        <v>20.675021242108983</v>
      </c>
      <c r="M46">
        <f t="shared" si="6"/>
        <v>17.244324051962394</v>
      </c>
      <c r="N46">
        <f t="shared" si="6"/>
        <v>18.869768979014168</v>
      </c>
      <c r="O46">
        <f t="shared" si="6"/>
        <v>18.301689236256038</v>
      </c>
      <c r="P46">
        <f t="shared" si="6"/>
        <v>8.9646285405837176</v>
      </c>
      <c r="Q46">
        <f t="shared" si="6"/>
        <v>7.6501781992529061</v>
      </c>
      <c r="R46">
        <f t="shared" si="6"/>
        <v>19.688133154338942</v>
      </c>
      <c r="S46">
        <f t="shared" si="6"/>
        <v>19.436805023217403</v>
      </c>
    </row>
    <row r="47" spans="1:19" x14ac:dyDescent="0.25">
      <c r="A47">
        <v>100</v>
      </c>
      <c r="B47">
        <f t="shared" si="6"/>
        <v>12.844427454598858</v>
      </c>
      <c r="C47">
        <f t="shared" si="6"/>
        <v>16.450510157048996</v>
      </c>
      <c r="D47">
        <f t="shared" si="6"/>
        <v>12.171006313637662</v>
      </c>
      <c r="E47">
        <f t="shared" si="6"/>
        <v>15.051711441173978</v>
      </c>
      <c r="F47">
        <f t="shared" si="6"/>
        <v>15.094083573892533</v>
      </c>
      <c r="G47">
        <f t="shared" si="6"/>
        <v>13.847662482426529</v>
      </c>
      <c r="H47">
        <f t="shared" si="6"/>
        <v>12.567710682056997</v>
      </c>
      <c r="I47">
        <f t="shared" si="6"/>
        <v>12.617718918639042</v>
      </c>
      <c r="J47">
        <f t="shared" si="6"/>
        <v>10.706015402508484</v>
      </c>
      <c r="K47">
        <f t="shared" si="6"/>
        <v>13.926032348412065</v>
      </c>
      <c r="L47">
        <f t="shared" si="6"/>
        <v>14.743930715958641</v>
      </c>
      <c r="M47">
        <f t="shared" si="6"/>
        <v>13.575807723268269</v>
      </c>
      <c r="N47">
        <f t="shared" si="6"/>
        <v>15.671224459576393</v>
      </c>
      <c r="O47">
        <f t="shared" si="6"/>
        <v>13.479477327387457</v>
      </c>
      <c r="P47">
        <f t="shared" si="6"/>
        <v>12.009811149045859</v>
      </c>
      <c r="Q47">
        <f t="shared" si="6"/>
        <v>7.2109443520431569</v>
      </c>
      <c r="R47">
        <f t="shared" si="6"/>
        <v>13.815892345288404</v>
      </c>
      <c r="S47">
        <f t="shared" si="6"/>
        <v>13.511210153021295</v>
      </c>
    </row>
    <row r="48" spans="1:19" x14ac:dyDescent="0.25">
      <c r="A48">
        <v>120</v>
      </c>
      <c r="B48">
        <f t="shared" si="6"/>
        <v>9.8909020773583904</v>
      </c>
      <c r="C48">
        <f t="shared" si="6"/>
        <v>10.415827129215103</v>
      </c>
      <c r="D48">
        <f t="shared" si="6"/>
        <v>6.1845865817489312</v>
      </c>
      <c r="E48">
        <f t="shared" si="6"/>
        <v>6.3606818127087479</v>
      </c>
      <c r="F48">
        <f t="shared" si="6"/>
        <v>9.0220279038739761</v>
      </c>
      <c r="G48">
        <f t="shared" si="6"/>
        <v>6.7886915913405517</v>
      </c>
      <c r="H48">
        <f t="shared" si="6"/>
        <v>9.8994494119666001</v>
      </c>
      <c r="I48">
        <f t="shared" si="6"/>
        <v>10.053067455588206</v>
      </c>
      <c r="J48">
        <f t="shared" si="6"/>
        <v>8.3834275721268625</v>
      </c>
      <c r="K48">
        <f t="shared" si="6"/>
        <v>6.7686104252467487</v>
      </c>
      <c r="L48">
        <f t="shared" si="6"/>
        <v>6.4217953275311288</v>
      </c>
      <c r="M48">
        <f t="shared" si="6"/>
        <v>6.8875941305435902</v>
      </c>
      <c r="N48">
        <f t="shared" si="6"/>
        <v>10.859047708838091</v>
      </c>
      <c r="O48">
        <f t="shared" si="6"/>
        <v>7.4247278937578471</v>
      </c>
      <c r="P48">
        <f t="shared" si="6"/>
        <v>9.6645742378159696</v>
      </c>
      <c r="Q48">
        <f t="shared" si="6"/>
        <v>7.2871869244007712</v>
      </c>
      <c r="R48">
        <f t="shared" si="6"/>
        <v>6.503484367324603</v>
      </c>
      <c r="S48">
        <f t="shared" si="6"/>
        <v>6.6727860079831771</v>
      </c>
    </row>
    <row r="49" spans="1:19" x14ac:dyDescent="0.25">
      <c r="A49">
        <v>160</v>
      </c>
      <c r="B49">
        <f t="shared" si="6"/>
        <v>1.4313646735770362</v>
      </c>
      <c r="C49">
        <f t="shared" si="6"/>
        <v>9.2334929875286775</v>
      </c>
      <c r="D49">
        <f t="shared" si="6"/>
        <v>8.6647677026557233</v>
      </c>
      <c r="E49">
        <f t="shared" si="6"/>
        <v>17.734224150679466</v>
      </c>
      <c r="F49">
        <f t="shared" si="6"/>
        <v>9.7778129873522346</v>
      </c>
      <c r="G49">
        <f t="shared" si="6"/>
        <v>15.455116315929814</v>
      </c>
      <c r="H49">
        <f t="shared" si="6"/>
        <v>4.5996681917058027</v>
      </c>
      <c r="I49">
        <f t="shared" si="6"/>
        <v>7.1745620447365752</v>
      </c>
      <c r="J49">
        <f t="shared" si="6"/>
        <v>0.92055599021600187</v>
      </c>
      <c r="K49">
        <f t="shared" si="6"/>
        <v>14.592493706904406</v>
      </c>
      <c r="L49">
        <f t="shared" si="6"/>
        <v>15.146861279585522</v>
      </c>
      <c r="M49">
        <f t="shared" si="6"/>
        <v>15.402380050063783</v>
      </c>
      <c r="N49">
        <f t="shared" si="6"/>
        <v>6.0971715217863789</v>
      </c>
      <c r="O49">
        <f t="shared" si="6"/>
        <v>8.4484778609593718</v>
      </c>
      <c r="P49">
        <f t="shared" si="6"/>
        <v>0.60062173908676186</v>
      </c>
      <c r="Q49">
        <f t="shared" si="6"/>
        <v>2.8422114842720418</v>
      </c>
      <c r="R49">
        <f t="shared" si="6"/>
        <v>14.581037051159342</v>
      </c>
      <c r="S49">
        <f t="shared" si="6"/>
        <v>13.469126550033138</v>
      </c>
    </row>
    <row r="50" spans="1:19" x14ac:dyDescent="0.25">
      <c r="A50">
        <v>200</v>
      </c>
      <c r="B50">
        <f t="shared" si="6"/>
        <v>26.838410352246456</v>
      </c>
      <c r="C50">
        <f t="shared" si="6"/>
        <v>35.921458117672159</v>
      </c>
      <c r="D50">
        <f t="shared" si="6"/>
        <v>31.038104571871031</v>
      </c>
      <c r="E50">
        <f t="shared" si="6"/>
        <v>49.931535958904959</v>
      </c>
      <c r="F50">
        <f t="shared" si="6"/>
        <v>37.799618355164426</v>
      </c>
      <c r="G50">
        <f t="shared" si="6"/>
        <v>45.932833847758957</v>
      </c>
      <c r="H50">
        <f t="shared" si="6"/>
        <v>24.488918282754554</v>
      </c>
      <c r="I50">
        <f t="shared" si="6"/>
        <v>33.542650572539628</v>
      </c>
      <c r="J50">
        <f t="shared" si="6"/>
        <v>21.571025824751047</v>
      </c>
      <c r="K50">
        <f t="shared" si="6"/>
        <v>43.292552642531632</v>
      </c>
      <c r="L50">
        <f t="shared" si="6"/>
        <v>44.057099436982895</v>
      </c>
      <c r="M50">
        <f t="shared" si="6"/>
        <v>44.001426063996831</v>
      </c>
      <c r="N50">
        <f t="shared" si="6"/>
        <v>31.769708905461499</v>
      </c>
      <c r="O50">
        <f t="shared" si="6"/>
        <v>34.457194460514046</v>
      </c>
      <c r="P50">
        <f t="shared" si="6"/>
        <v>14.716623180604984</v>
      </c>
      <c r="Q50">
        <f t="shared" si="6"/>
        <v>15.010323442009792</v>
      </c>
      <c r="R50">
        <f t="shared" si="6"/>
        <v>42.60866573147382</v>
      </c>
      <c r="S50">
        <f t="shared" si="6"/>
        <v>43.044860747494738</v>
      </c>
    </row>
  </sheetData>
  <sortState xmlns:xlrd2="http://schemas.microsoft.com/office/spreadsheetml/2017/richdata2" ref="A2:S15">
    <sortCondition ref="A1:A1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DE2C-0787-4302-BA74-A3EF4694CD71}">
  <dimension ref="A1:S50"/>
  <sheetViews>
    <sheetView workbookViewId="0">
      <selection activeCell="B20" sqref="B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f>AVERAGE('200 loading'!A2,'200 unloading'!A2)</f>
        <v>0</v>
      </c>
      <c r="B2">
        <f>AVERAGE('200 loading'!B2,'200 unloading'!B2)</f>
        <v>21.079072471526089</v>
      </c>
      <c r="C2">
        <f>AVERAGE('200 loading'!C2,'200 unloading'!C2)</f>
        <v>43.950248259326358</v>
      </c>
      <c r="D2">
        <f>AVERAGE('200 loading'!D2,'200 unloading'!D2)</f>
        <v>231.82267290104056</v>
      </c>
      <c r="E2">
        <f>AVERAGE('200 loading'!E2,'200 unloading'!E2)</f>
        <v>340.69621173943148</v>
      </c>
      <c r="F2">
        <f>AVERAGE('200 loading'!F2,'200 unloading'!F2)</f>
        <v>106.99303068988043</v>
      </c>
      <c r="G2">
        <f>AVERAGE('200 loading'!G2,'200 unloading'!G2)</f>
        <v>295.24217471825739</v>
      </c>
      <c r="H2">
        <f>AVERAGE('200 loading'!H2,'200 unloading'!H2)</f>
        <v>420.62539472871481</v>
      </c>
      <c r="I2">
        <f>AVERAGE('200 loading'!I2,'200 unloading'!I2)</f>
        <v>279.48302880678102</v>
      </c>
      <c r="J2">
        <f>AVERAGE('200 loading'!J2,'200 unloading'!J2)</f>
        <v>47.589591911668343</v>
      </c>
      <c r="K2">
        <f>AVERAGE('200 loading'!K2,'200 unloading'!K2)</f>
        <v>124.8569299191071</v>
      </c>
      <c r="L2">
        <f>AVERAGE('200 loading'!L2,'200 unloading'!L2)</f>
        <v>486.78051245670133</v>
      </c>
      <c r="M2">
        <f>AVERAGE('200 loading'!M2,'200 unloading'!M2)</f>
        <v>225.2018015693985</v>
      </c>
      <c r="N2">
        <f>AVERAGE('200 loading'!N2,'200 unloading'!N2)</f>
        <v>426.08570982915603</v>
      </c>
      <c r="O2">
        <f>AVERAGE('200 loading'!O2,'200 unloading'!O2)</f>
        <v>56.342394076189457</v>
      </c>
      <c r="P2">
        <f>AVERAGE('200 loading'!P2,'200 unloading'!P2)</f>
        <v>4.4585020302405578</v>
      </c>
      <c r="Q2">
        <f>AVERAGE('200 loading'!Q2,'200 unloading'!Q2)</f>
        <v>13.453087161900061</v>
      </c>
      <c r="R2">
        <f>AVERAGE('200 loading'!R2,'200 unloading'!R2)</f>
        <v>466.08389960899768</v>
      </c>
      <c r="S2">
        <f>AVERAGE('200 loading'!S2,'200 unloading'!S2)</f>
        <v>100.49256392747155</v>
      </c>
    </row>
    <row r="3" spans="1:19" x14ac:dyDescent="0.25">
      <c r="A3">
        <f>AVERAGE('200 loading'!A3,'200 unloading'!A3)</f>
        <v>4</v>
      </c>
      <c r="B3">
        <f>AVERAGE('200 loading'!B3,'200 unloading'!B3)</f>
        <v>32.624166100824041</v>
      </c>
      <c r="C3">
        <f>AVERAGE('200 loading'!C3,'200 unloading'!C3)</f>
        <v>63.032393648869011</v>
      </c>
      <c r="D3">
        <f>AVERAGE('200 loading'!D3,'200 unloading'!D3)</f>
        <v>271.4009041161309</v>
      </c>
      <c r="E3">
        <f>AVERAGE('200 loading'!E3,'200 unloading'!E3)</f>
        <v>398.96217498665862</v>
      </c>
      <c r="F3">
        <f>AVERAGE('200 loading'!F3,'200 unloading'!F3)</f>
        <v>131.81679565632911</v>
      </c>
      <c r="G3">
        <f>AVERAGE('200 loading'!G3,'200 unloading'!G3)</f>
        <v>348.3903553857221</v>
      </c>
      <c r="H3">
        <f>AVERAGE('200 loading'!H3,'200 unloading'!H3)</f>
        <v>437.46133306727785</v>
      </c>
      <c r="I3">
        <f>AVERAGE('200 loading'!I3,'200 unloading'!I3)</f>
        <v>318.50444951852239</v>
      </c>
      <c r="J3">
        <f>AVERAGE('200 loading'!J3,'200 unloading'!J3)</f>
        <v>65.142299616611268</v>
      </c>
      <c r="K3">
        <f>AVERAGE('200 loading'!K3,'200 unloading'!K3)</f>
        <v>182.01247016096653</v>
      </c>
      <c r="L3">
        <f>AVERAGE('200 loading'!L3,'200 unloading'!L3)</f>
        <v>535.80473040345305</v>
      </c>
      <c r="M3">
        <f>AVERAGE('200 loading'!M3,'200 unloading'!M3)</f>
        <v>262.25293689767869</v>
      </c>
      <c r="N3">
        <f>AVERAGE('200 loading'!N3,'200 unloading'!N3)</f>
        <v>434.78631539958019</v>
      </c>
      <c r="O3">
        <f>AVERAGE('200 loading'!O3,'200 unloading'!O3)</f>
        <v>86.754101043510673</v>
      </c>
      <c r="P3">
        <f>AVERAGE('200 loading'!P3,'200 unloading'!P3)</f>
        <v>4.9504505349142649</v>
      </c>
      <c r="Q3">
        <f>AVERAGE('200 loading'!Q3,'200 unloading'!Q3)</f>
        <v>23.135824323984263</v>
      </c>
      <c r="R3">
        <f>AVERAGE('200 loading'!R3,'200 unloading'!R3)</f>
        <v>516.34515007846687</v>
      </c>
      <c r="S3">
        <f>AVERAGE('200 loading'!S3,'200 unloading'!S3)</f>
        <v>142.85802213483436</v>
      </c>
    </row>
    <row r="4" spans="1:19" x14ac:dyDescent="0.25">
      <c r="A4">
        <f>AVERAGE('200 loading'!A4,'200 unloading'!A4)</f>
        <v>8</v>
      </c>
      <c r="B4">
        <f>AVERAGE('200 loading'!B4,'200 unloading'!B4)</f>
        <v>42.828265534436305</v>
      </c>
      <c r="C4">
        <f>AVERAGE('200 loading'!C4,'200 unloading'!C4)</f>
        <v>90.555337465746078</v>
      </c>
      <c r="D4">
        <f>AVERAGE('200 loading'!D4,'200 unloading'!D4)</f>
        <v>313.48784129816653</v>
      </c>
      <c r="E4">
        <f>AVERAGE('200 loading'!E4,'200 unloading'!E4)</f>
        <v>454.36038570201413</v>
      </c>
      <c r="F4">
        <f>AVERAGE('200 loading'!F4,'200 unloading'!F4)</f>
        <v>160.71656196403572</v>
      </c>
      <c r="G4">
        <f>AVERAGE('200 loading'!G4,'200 unloading'!G4)</f>
        <v>402.82418155339815</v>
      </c>
      <c r="H4">
        <f>AVERAGE('200 loading'!H4,'200 unloading'!H4)</f>
        <v>455.74035860394804</v>
      </c>
      <c r="I4">
        <f>AVERAGE('200 loading'!I4,'200 unloading'!I4)</f>
        <v>364.12887707223723</v>
      </c>
      <c r="J4">
        <f>AVERAGE('200 loading'!J4,'200 unloading'!J4)</f>
        <v>88.91198293815026</v>
      </c>
      <c r="K4">
        <f>AVERAGE('200 loading'!K4,'200 unloading'!K4)</f>
        <v>244.37822792903131</v>
      </c>
      <c r="L4">
        <f>AVERAGE('200 loading'!L4,'200 unloading'!L4)</f>
        <v>591.516395378928</v>
      </c>
      <c r="M4">
        <f>AVERAGE('200 loading'!M4,'200 unloading'!M4)</f>
        <v>298.11805822930376</v>
      </c>
      <c r="N4">
        <f>AVERAGE('200 loading'!N4,'200 unloading'!N4)</f>
        <v>448.30320677858322</v>
      </c>
      <c r="O4">
        <f>AVERAGE('200 loading'!O4,'200 unloading'!O4)</f>
        <v>141.13354642198749</v>
      </c>
      <c r="P4">
        <f>AVERAGE('200 loading'!P4,'200 unloading'!P4)</f>
        <v>6.1425683310041084</v>
      </c>
      <c r="Q4">
        <f>AVERAGE('200 loading'!Q4,'200 unloading'!Q4)</f>
        <v>39.964290094628623</v>
      </c>
      <c r="R4">
        <f>AVERAGE('200 loading'!R4,'200 unloading'!R4)</f>
        <v>564.74305321584768</v>
      </c>
      <c r="S4">
        <f>AVERAGE('200 loading'!S4,'200 unloading'!S4)</f>
        <v>210.9511534100721</v>
      </c>
    </row>
    <row r="5" spans="1:19" x14ac:dyDescent="0.25">
      <c r="A5">
        <f>AVERAGE('200 loading'!A5,'200 unloading'!A5)</f>
        <v>12</v>
      </c>
      <c r="B5">
        <f>AVERAGE('200 loading'!B5,'200 unloading'!B5)</f>
        <v>64.202526291662025</v>
      </c>
      <c r="C5">
        <f>AVERAGE('200 loading'!C5,'200 unloading'!C5)</f>
        <v>123.91341045923465</v>
      </c>
      <c r="D5">
        <f>AVERAGE('200 loading'!D5,'200 unloading'!D5)</f>
        <v>365.95329975168085</v>
      </c>
      <c r="E5">
        <f>AVERAGE('200 loading'!E5,'200 unloading'!E5)</f>
        <v>510.65029333657742</v>
      </c>
      <c r="F5">
        <f>AVERAGE('200 loading'!F5,'200 unloading'!F5)</f>
        <v>209.69414474638899</v>
      </c>
      <c r="G5">
        <f>AVERAGE('200 loading'!G5,'200 unloading'!G5)</f>
        <v>451.39151554505895</v>
      </c>
      <c r="H5">
        <f>AVERAGE('200 loading'!H5,'200 unloading'!H5)</f>
        <v>486.95560145685391</v>
      </c>
      <c r="I5">
        <f>AVERAGE('200 loading'!I5,'200 unloading'!I5)</f>
        <v>414.68717547117791</v>
      </c>
      <c r="J5">
        <f>AVERAGE('200 loading'!J5,'200 unloading'!J5)</f>
        <v>120.28789248373727</v>
      </c>
      <c r="K5">
        <f>AVERAGE('200 loading'!K5,'200 unloading'!K5)</f>
        <v>319.32608535455915</v>
      </c>
      <c r="L5">
        <f>AVERAGE('200 loading'!L5,'200 unloading'!L5)</f>
        <v>644.88519328936786</v>
      </c>
      <c r="M5">
        <f>AVERAGE('200 loading'!M5,'200 unloading'!M5)</f>
        <v>334.82478171211528</v>
      </c>
      <c r="N5">
        <f>AVERAGE('200 loading'!N5,'200 unloading'!N5)</f>
        <v>464.96128621817377</v>
      </c>
      <c r="O5">
        <f>AVERAGE('200 loading'!O5,'200 unloading'!O5)</f>
        <v>209.29134058240169</v>
      </c>
      <c r="P5">
        <f>AVERAGE('200 loading'!P5,'200 unloading'!P5)</f>
        <v>8.9983572921022343</v>
      </c>
      <c r="Q5">
        <f>AVERAGE('200 loading'!Q5,'200 unloading'!Q5)</f>
        <v>67.00344157673095</v>
      </c>
      <c r="R5">
        <f>AVERAGE('200 loading'!R5,'200 unloading'!R5)</f>
        <v>614.72647837334193</v>
      </c>
      <c r="S5">
        <f>AVERAGE('200 loading'!S5,'200 unloading'!S5)</f>
        <v>290.12501828901748</v>
      </c>
    </row>
    <row r="6" spans="1:19" x14ac:dyDescent="0.25">
      <c r="A6">
        <f>AVERAGE('200 loading'!A6,'200 unloading'!A6)</f>
        <v>16</v>
      </c>
      <c r="B6">
        <f>AVERAGE('200 loading'!B6,'200 unloading'!B6)</f>
        <v>91.625789902546828</v>
      </c>
      <c r="C6">
        <f>AVERAGE('200 loading'!C6,'200 unloading'!C6)</f>
        <v>168.13929670229803</v>
      </c>
      <c r="D6">
        <f>AVERAGE('200 loading'!D6,'200 unloading'!D6)</f>
        <v>409.36333915576392</v>
      </c>
      <c r="E6">
        <f>AVERAGE('200 loading'!E6,'200 unloading'!E6)</f>
        <v>556.9181609015526</v>
      </c>
      <c r="F6">
        <f>AVERAGE('200 loading'!F6,'200 unloading'!F6)</f>
        <v>247.66217607039715</v>
      </c>
      <c r="G6">
        <f>AVERAGE('200 loading'!G6,'200 unloading'!G6)</f>
        <v>492.04966882192502</v>
      </c>
      <c r="H6">
        <f>AVERAGE('200 loading'!H6,'200 unloading'!H6)</f>
        <v>515.8542330173309</v>
      </c>
      <c r="I6">
        <f>AVERAGE('200 loading'!I6,'200 unloading'!I6)</f>
        <v>458.60208530546703</v>
      </c>
      <c r="J6">
        <f>AVERAGE('200 loading'!J6,'200 unloading'!J6)</f>
        <v>151.45511448658536</v>
      </c>
      <c r="K6">
        <f>AVERAGE('200 loading'!K6,'200 unloading'!K6)</f>
        <v>375.80824064429197</v>
      </c>
      <c r="L6">
        <f>AVERAGE('200 loading'!L6,'200 unloading'!L6)</f>
        <v>688.21608542719071</v>
      </c>
      <c r="M6">
        <f>AVERAGE('200 loading'!M6,'200 unloading'!M6)</f>
        <v>364.509485604014</v>
      </c>
      <c r="N6">
        <f>AVERAGE('200 loading'!N6,'200 unloading'!N6)</f>
        <v>481.07244676115693</v>
      </c>
      <c r="O6">
        <f>AVERAGE('200 loading'!O6,'200 unloading'!O6)</f>
        <v>261.60761508729342</v>
      </c>
      <c r="P6">
        <f>AVERAGE('200 loading'!P6,'200 unloading'!P6)</f>
        <v>13.568276992966368</v>
      </c>
      <c r="Q6">
        <f>AVERAGE('200 loading'!Q6,'200 unloading'!Q6)</f>
        <v>91.702623395151292</v>
      </c>
      <c r="R6">
        <f>AVERAGE('200 loading'!R6,'200 unloading'!R6)</f>
        <v>658.86324999358703</v>
      </c>
      <c r="S6">
        <f>AVERAGE('200 loading'!S6,'200 unloading'!S6)</f>
        <v>349.6223656004388</v>
      </c>
    </row>
    <row r="7" spans="1:19" x14ac:dyDescent="0.25">
      <c r="A7">
        <f>AVERAGE('200 loading'!A7,'200 unloading'!A7)</f>
        <v>20</v>
      </c>
      <c r="B7">
        <f>AVERAGE('200 loading'!B7,'200 unloading'!B7)</f>
        <v>121.73193304489268</v>
      </c>
      <c r="C7">
        <f>AVERAGE('200 loading'!C7,'200 unloading'!C7)</f>
        <v>206.09386098637873</v>
      </c>
      <c r="D7">
        <f>AVERAGE('200 loading'!D7,'200 unloading'!D7)</f>
        <v>448.14027630452927</v>
      </c>
      <c r="E7">
        <f>AVERAGE('200 loading'!E7,'200 unloading'!E7)</f>
        <v>597.92892213743016</v>
      </c>
      <c r="F7">
        <f>AVERAGE('200 loading'!F7,'200 unloading'!F7)</f>
        <v>279.14920906488487</v>
      </c>
      <c r="G7">
        <f>AVERAGE('200 loading'!G7,'200 unloading'!G7)</f>
        <v>528.18640751427745</v>
      </c>
      <c r="H7">
        <f>AVERAGE('200 loading'!H7,'200 unloading'!H7)</f>
        <v>542.73974042319105</v>
      </c>
      <c r="I7">
        <f>AVERAGE('200 loading'!I7,'200 unloading'!I7)</f>
        <v>494.58581572986253</v>
      </c>
      <c r="J7">
        <f>AVERAGE('200 loading'!J7,'200 unloading'!J7)</f>
        <v>179.52384156580575</v>
      </c>
      <c r="K7">
        <f>AVERAGE('200 loading'!K7,'200 unloading'!K7)</f>
        <v>424.28046911972785</v>
      </c>
      <c r="L7">
        <f>AVERAGE('200 loading'!L7,'200 unloading'!L7)</f>
        <v>728.00975648554493</v>
      </c>
      <c r="M7">
        <f>AVERAGE('200 loading'!M7,'200 unloading'!M7)</f>
        <v>390.54173768732539</v>
      </c>
      <c r="N7">
        <f>AVERAGE('200 loading'!N7,'200 unloading'!N7)</f>
        <v>507.12777575093617</v>
      </c>
      <c r="O7">
        <f>AVERAGE('200 loading'!O7,'200 unloading'!O7)</f>
        <v>315.54326775191544</v>
      </c>
      <c r="P7">
        <f>AVERAGE('200 loading'!P7,'200 unloading'!P7)</f>
        <v>18.114547982024622</v>
      </c>
      <c r="Q7">
        <f>AVERAGE('200 loading'!Q7,'200 unloading'!Q7)</f>
        <v>110.43248331814792</v>
      </c>
      <c r="R7">
        <f>AVERAGE('200 loading'!R7,'200 unloading'!R7)</f>
        <v>699.66545749848956</v>
      </c>
      <c r="S7">
        <f>AVERAGE('200 loading'!S7,'200 unloading'!S7)</f>
        <v>399.05574231683414</v>
      </c>
    </row>
    <row r="8" spans="1:19" x14ac:dyDescent="0.25">
      <c r="A8">
        <f>AVERAGE('200 loading'!A8,'200 unloading'!A8)</f>
        <v>30</v>
      </c>
      <c r="B8">
        <f>AVERAGE('200 loading'!B8,'200 unloading'!B8)</f>
        <v>213.77858827595503</v>
      </c>
      <c r="C8">
        <f>AVERAGE('200 loading'!C8,'200 unloading'!C8)</f>
        <v>311.93206884409449</v>
      </c>
      <c r="D8">
        <f>AVERAGE('200 loading'!D8,'200 unloading'!D8)</f>
        <v>550.97750638974458</v>
      </c>
      <c r="E8">
        <f>AVERAGE('200 loading'!E8,'200 unloading'!E8)</f>
        <v>707.58669773166764</v>
      </c>
      <c r="F8">
        <f>AVERAGE('200 loading'!F8,'200 unloading'!F8)</f>
        <v>376.04118029230074</v>
      </c>
      <c r="G8">
        <f>AVERAGE('200 loading'!G8,'200 unloading'!G8)</f>
        <v>611.27117537310778</v>
      </c>
      <c r="H8">
        <f>AVERAGE('200 loading'!H8,'200 unloading'!H8)</f>
        <v>613.23029113606685</v>
      </c>
      <c r="I8">
        <f>AVERAGE('200 loading'!I8,'200 unloading'!I8)</f>
        <v>589.26792943252144</v>
      </c>
      <c r="J8">
        <f>AVERAGE('200 loading'!J8,'200 unloading'!J8)</f>
        <v>273.07746351040339</v>
      </c>
      <c r="K8">
        <f>AVERAGE('200 loading'!K8,'200 unloading'!K8)</f>
        <v>536.32390000569785</v>
      </c>
      <c r="L8">
        <f>AVERAGE('200 loading'!L8,'200 unloading'!L8)</f>
        <v>824.03810456957854</v>
      </c>
      <c r="M8">
        <f>AVERAGE('200 loading'!M8,'200 unloading'!M8)</f>
        <v>451.20169780934384</v>
      </c>
      <c r="N8">
        <f>AVERAGE('200 loading'!N8,'200 unloading'!N8)</f>
        <v>600.1345352138585</v>
      </c>
      <c r="O8">
        <f>AVERAGE('200 loading'!O8,'200 unloading'!O8)</f>
        <v>446.2445626997951</v>
      </c>
      <c r="P8">
        <f>AVERAGE('200 loading'!P8,'200 unloading'!P8)</f>
        <v>36.455461693486519</v>
      </c>
      <c r="Q8">
        <f>AVERAGE('200 loading'!Q8,'200 unloading'!Q8)</f>
        <v>173.26156608121732</v>
      </c>
      <c r="R8">
        <f>AVERAGE('200 loading'!R8,'200 unloading'!R8)</f>
        <v>795.60276648648676</v>
      </c>
      <c r="S8">
        <f>AVERAGE('200 loading'!S8,'200 unloading'!S8)</f>
        <v>522.97150187015495</v>
      </c>
    </row>
    <row r="9" spans="1:19" x14ac:dyDescent="0.25">
      <c r="A9">
        <f>AVERAGE('200 loading'!A9,'200 unloading'!A9)</f>
        <v>40</v>
      </c>
      <c r="B9">
        <f>AVERAGE('200 loading'!B9,'200 unloading'!B9)</f>
        <v>293.38128428223456</v>
      </c>
      <c r="C9">
        <f>AVERAGE('200 loading'!C9,'200 unloading'!C9)</f>
        <v>397.94127861748962</v>
      </c>
      <c r="D9">
        <f>AVERAGE('200 loading'!D9,'200 unloading'!D9)</f>
        <v>630.12175661641595</v>
      </c>
      <c r="E9">
        <f>AVERAGE('200 loading'!E9,'200 unloading'!E9)</f>
        <v>802.66360996978301</v>
      </c>
      <c r="F9">
        <f>AVERAGE('200 loading'!F9,'200 unloading'!F9)</f>
        <v>452.65775540122871</v>
      </c>
      <c r="G9">
        <f>AVERAGE('200 loading'!G9,'200 unloading'!G9)</f>
        <v>682.41506765338386</v>
      </c>
      <c r="H9">
        <f>AVERAGE('200 loading'!H9,'200 unloading'!H9)</f>
        <v>687.86113358937541</v>
      </c>
      <c r="I9">
        <f>AVERAGE('200 loading'!I9,'200 unloading'!I9)</f>
        <v>672.72974040545091</v>
      </c>
      <c r="J9">
        <f>AVERAGE('200 loading'!J9,'200 unloading'!J9)</f>
        <v>361.30007573554781</v>
      </c>
      <c r="K9">
        <f>AVERAGE('200 loading'!K9,'200 unloading'!K9)</f>
        <v>626.94370775822097</v>
      </c>
      <c r="L9">
        <f>AVERAGE('200 loading'!L9,'200 unloading'!L9)</f>
        <v>898.54437598880043</v>
      </c>
      <c r="M9">
        <f>AVERAGE('200 loading'!M9,'200 unloading'!M9)</f>
        <v>501.4462900484836</v>
      </c>
      <c r="N9">
        <f>AVERAGE('200 loading'!N9,'200 unloading'!N9)</f>
        <v>718.08583477132936</v>
      </c>
      <c r="O9">
        <f>AVERAGE('200 loading'!O9,'200 unloading'!O9)</f>
        <v>568.3014646459194</v>
      </c>
      <c r="P9">
        <f>AVERAGE('200 loading'!P9,'200 unloading'!P9)</f>
        <v>58.75243914884264</v>
      </c>
      <c r="Q9">
        <f>AVERAGE('200 loading'!Q9,'200 unloading'!Q9)</f>
        <v>241.86768716449933</v>
      </c>
      <c r="R9">
        <f>AVERAGE('200 loading'!R9,'200 unloading'!R9)</f>
        <v>878.57922267968524</v>
      </c>
      <c r="S9">
        <f>AVERAGE('200 loading'!S9,'200 unloading'!S9)</f>
        <v>618.25675803948866</v>
      </c>
    </row>
    <row r="10" spans="1:19" x14ac:dyDescent="0.25">
      <c r="A10">
        <f>AVERAGE('200 loading'!A10,'200 unloading'!A10)</f>
        <v>60</v>
      </c>
      <c r="B10">
        <f>AVERAGE('200 loading'!B10,'200 unloading'!B10)</f>
        <v>458.32708354534191</v>
      </c>
      <c r="C10">
        <f>AVERAGE('200 loading'!C10,'200 unloading'!C10)</f>
        <v>568.64653195877099</v>
      </c>
      <c r="D10">
        <f>AVERAGE('200 loading'!D10,'200 unloading'!D10)</f>
        <v>794.90230591928685</v>
      </c>
      <c r="E10">
        <f>AVERAGE('200 loading'!E10,'200 unloading'!E10)</f>
        <v>957.86286548361124</v>
      </c>
      <c r="F10">
        <f>AVERAGE('200 loading'!F10,'200 unloading'!F10)</f>
        <v>596.09486202058974</v>
      </c>
      <c r="G10">
        <f>AVERAGE('200 loading'!G10,'200 unloading'!G10)</f>
        <v>798.21491808585188</v>
      </c>
      <c r="H10">
        <f>AVERAGE('200 loading'!H10,'200 unloading'!H10)</f>
        <v>821.10223025196206</v>
      </c>
      <c r="I10">
        <f>AVERAGE('200 loading'!I10,'200 unloading'!I10)</f>
        <v>836.52241385494312</v>
      </c>
      <c r="J10">
        <f>AVERAGE('200 loading'!J10,'200 unloading'!J10)</f>
        <v>518.55002209230213</v>
      </c>
      <c r="K10">
        <f>AVERAGE('200 loading'!K10,'200 unloading'!K10)</f>
        <v>783.11997052848051</v>
      </c>
      <c r="L10">
        <f>AVERAGE('200 loading'!L10,'200 unloading'!L10)</f>
        <v>1034.0745399825289</v>
      </c>
      <c r="M10">
        <f>AVERAGE('200 loading'!M10,'200 unloading'!M10)</f>
        <v>578.36290448625914</v>
      </c>
      <c r="N10">
        <f>AVERAGE('200 loading'!N10,'200 unloading'!N10)</f>
        <v>921.10765822214807</v>
      </c>
      <c r="O10">
        <f>AVERAGE('200 loading'!O10,'200 unloading'!O10)</f>
        <v>771.61805275684719</v>
      </c>
      <c r="P10">
        <f>AVERAGE('200 loading'!P10,'200 unloading'!P10)</f>
        <v>128.1310007088623</v>
      </c>
      <c r="Q10">
        <f>AVERAGE('200 loading'!Q10,'200 unloading'!Q10)</f>
        <v>401.2514483354895</v>
      </c>
      <c r="R10">
        <f>AVERAGE('200 loading'!R10,'200 unloading'!R10)</f>
        <v>1021.2910918807277</v>
      </c>
      <c r="S10">
        <f>AVERAGE('200 loading'!S10,'200 unloading'!S10)</f>
        <v>805.56105996396957</v>
      </c>
    </row>
    <row r="11" spans="1:19" x14ac:dyDescent="0.25">
      <c r="A11">
        <f>AVERAGE('200 loading'!A11,'200 unloading'!A11)</f>
        <v>80</v>
      </c>
      <c r="B11">
        <f>AVERAGE('200 loading'!B11,'200 unloading'!B11)</f>
        <v>601.66136362889893</v>
      </c>
      <c r="C11">
        <f>AVERAGE('200 loading'!C11,'200 unloading'!C11)</f>
        <v>718.69557024996152</v>
      </c>
      <c r="D11">
        <f>AVERAGE('200 loading'!D11,'200 unloading'!D11)</f>
        <v>925.13799349265241</v>
      </c>
      <c r="E11">
        <f>AVERAGE('200 loading'!E11,'200 unloading'!E11)</f>
        <v>1084.6935014343042</v>
      </c>
      <c r="F11">
        <f>AVERAGE('200 loading'!F11,'200 unloading'!F11)</f>
        <v>726.5811754430564</v>
      </c>
      <c r="G11">
        <f>AVERAGE('200 loading'!G11,'200 unloading'!G11)</f>
        <v>898.81065590698245</v>
      </c>
      <c r="H11">
        <f>AVERAGE('200 loading'!H11,'200 unloading'!H11)</f>
        <v>948.89039616152354</v>
      </c>
      <c r="I11">
        <f>AVERAGE('200 loading'!I11,'200 unloading'!I11)</f>
        <v>988.11234168355099</v>
      </c>
      <c r="J11">
        <f>AVERAGE('200 loading'!J11,'200 unloading'!J11)</f>
        <v>660.15807405989358</v>
      </c>
      <c r="K11">
        <f>AVERAGE('200 loading'!K11,'200 unloading'!K11)</f>
        <v>919.0109369390982</v>
      </c>
      <c r="L11">
        <f>AVERAGE('200 loading'!L11,'200 unloading'!L11)</f>
        <v>1145.7870316558101</v>
      </c>
      <c r="M11">
        <f>AVERAGE('200 loading'!M11,'200 unloading'!M11)</f>
        <v>648.37362668900823</v>
      </c>
      <c r="N11">
        <f>AVERAGE('200 loading'!N11,'200 unloading'!N11)</f>
        <v>1066.0745962716558</v>
      </c>
      <c r="O11">
        <f>AVERAGE('200 loading'!O11,'200 unloading'!O11)</f>
        <v>947.08183542582515</v>
      </c>
      <c r="P11">
        <f>AVERAGE('200 loading'!P11,'200 unloading'!P11)</f>
        <v>188.52873125479627</v>
      </c>
      <c r="Q11">
        <f>AVERAGE('200 loading'!Q11,'200 unloading'!Q11)</f>
        <v>560.85766039438192</v>
      </c>
      <c r="R11">
        <f>AVERAGE('200 loading'!R11,'200 unloading'!R11)</f>
        <v>1136.0315912450515</v>
      </c>
      <c r="S11">
        <f>AVERAGE('200 loading'!S11,'200 unloading'!S11)</f>
        <v>954.50601042336984</v>
      </c>
    </row>
    <row r="12" spans="1:19" x14ac:dyDescent="0.25">
      <c r="A12">
        <f>AVERAGE('200 loading'!A12,'200 unloading'!A12)</f>
        <v>100</v>
      </c>
      <c r="B12">
        <f>AVERAGE('200 loading'!B12,'200 unloading'!B12)</f>
        <v>730.14456768787397</v>
      </c>
      <c r="C12">
        <f>AVERAGE('200 loading'!C12,'200 unloading'!C12)</f>
        <v>843.61875304132332</v>
      </c>
      <c r="D12">
        <f>AVERAGE('200 loading'!D12,'200 unloading'!D12)</f>
        <v>1036.6484518027983</v>
      </c>
      <c r="E12">
        <f>AVERAGE('200 loading'!E12,'200 unloading'!E12)</f>
        <v>1186.5739764122218</v>
      </c>
      <c r="F12">
        <f>AVERAGE('200 loading'!F12,'200 unloading'!F12)</f>
        <v>828.79177052333148</v>
      </c>
      <c r="G12">
        <f>AVERAGE('200 loading'!G12,'200 unloading'!G12)</f>
        <v>978.52744338872321</v>
      </c>
      <c r="H12">
        <f>AVERAGE('200 loading'!H12,'200 unloading'!H12)</f>
        <v>1066.146904971768</v>
      </c>
      <c r="I12">
        <f>AVERAGE('200 loading'!I12,'200 unloading'!I12)</f>
        <v>1110.7254524949478</v>
      </c>
      <c r="J12">
        <f>AVERAGE('200 loading'!J12,'200 unloading'!J12)</f>
        <v>792.38247312212593</v>
      </c>
      <c r="K12">
        <f>AVERAGE('200 loading'!K12,'200 unloading'!K12)</f>
        <v>1033.1294561996028</v>
      </c>
      <c r="L12">
        <f>AVERAGE('200 loading'!L12,'200 unloading'!L12)</f>
        <v>1236.7433900402514</v>
      </c>
      <c r="M12">
        <f>AVERAGE('200 loading'!M12,'200 unloading'!M12)</f>
        <v>711.17849125501004</v>
      </c>
      <c r="N12">
        <f>AVERAGE('200 loading'!N12,'200 unloading'!N12)</f>
        <v>1185.3861291624785</v>
      </c>
      <c r="O12">
        <f>AVERAGE('200 loading'!O12,'200 unloading'!O12)</f>
        <v>1091.7906065704792</v>
      </c>
      <c r="P12">
        <f>AVERAGE('200 loading'!P12,'200 unloading'!P12)</f>
        <v>232.47640817926958</v>
      </c>
      <c r="Q12">
        <f>AVERAGE('200 loading'!Q12,'200 unloading'!Q12)</f>
        <v>705.60172632901254</v>
      </c>
      <c r="R12">
        <f>AVERAGE('200 loading'!R12,'200 unloading'!R12)</f>
        <v>1234.2777194250352</v>
      </c>
      <c r="S12">
        <f>AVERAGE('200 loading'!S12,'200 unloading'!S12)</f>
        <v>1084.8589658570702</v>
      </c>
    </row>
    <row r="13" spans="1:19" x14ac:dyDescent="0.25">
      <c r="A13">
        <f>AVERAGE('200 loading'!A13,'200 unloading'!A13)</f>
        <v>120</v>
      </c>
      <c r="B13">
        <f>AVERAGE('200 loading'!B13,'200 unloading'!B13)</f>
        <v>848.49458728486843</v>
      </c>
      <c r="C13">
        <f>AVERAGE('200 loading'!C13,'200 unloading'!C13)</f>
        <v>957.23849036769548</v>
      </c>
      <c r="D13">
        <f>AVERAGE('200 loading'!D13,'200 unloading'!D13)</f>
        <v>1142.4033414358837</v>
      </c>
      <c r="E13">
        <f>AVERAGE('200 loading'!E13,'200 unloading'!E13)</f>
        <v>1281.4841978221161</v>
      </c>
      <c r="F13">
        <f>AVERAGE('200 loading'!F13,'200 unloading'!F13)</f>
        <v>930.45321378878043</v>
      </c>
      <c r="G13">
        <f>AVERAGE('200 loading'!G13,'200 unloading'!G13)</f>
        <v>1062.566842505513</v>
      </c>
      <c r="H13">
        <f>AVERAGE('200 loading'!H13,'200 unloading'!H13)</f>
        <v>1180.6760347279883</v>
      </c>
      <c r="I13">
        <f>AVERAGE('200 loading'!I13,'200 unloading'!I13)</f>
        <v>1239.5812350286203</v>
      </c>
      <c r="J13">
        <f>AVERAGE('200 loading'!J13,'200 unloading'!J13)</f>
        <v>916.41345620761751</v>
      </c>
      <c r="K13">
        <f>AVERAGE('200 loading'!K13,'200 unloading'!K13)</f>
        <v>1139.1498471985433</v>
      </c>
      <c r="L13">
        <f>AVERAGE('200 loading'!L13,'200 unloading'!L13)</f>
        <v>1319.6762510034289</v>
      </c>
      <c r="M13">
        <f>AVERAGE('200 loading'!M13,'200 unloading'!M13)</f>
        <v>772.14663401356643</v>
      </c>
      <c r="N13">
        <f>AVERAGE('200 loading'!N13,'200 unloading'!N13)</f>
        <v>1300.679743690521</v>
      </c>
      <c r="O13">
        <f>AVERAGE('200 loading'!O13,'200 unloading'!O13)</f>
        <v>1226.516850322565</v>
      </c>
      <c r="P13">
        <f>AVERAGE('200 loading'!P13,'200 unloading'!P13)</f>
        <v>268.95067849866263</v>
      </c>
      <c r="Q13">
        <f>AVERAGE('200 loading'!Q13,'200 unloading'!Q13)</f>
        <v>853.8600862721172</v>
      </c>
      <c r="R13">
        <f>AVERAGE('200 loading'!R13,'200 unloading'!R13)</f>
        <v>1325.2176515231729</v>
      </c>
      <c r="S13">
        <f>AVERAGE('200 loading'!S13,'200 unloading'!S13)</f>
        <v>1207.1417322439286</v>
      </c>
    </row>
    <row r="14" spans="1:19" x14ac:dyDescent="0.25">
      <c r="A14">
        <f>AVERAGE('200 loading'!A14,'200 unloading'!A14)</f>
        <v>160</v>
      </c>
      <c r="B14">
        <f>AVERAGE('200 loading'!B14,'200 unloading'!B14)</f>
        <v>1071.7236928452385</v>
      </c>
      <c r="C14">
        <f>AVERAGE('200 loading'!C14,'200 unloading'!C14)</f>
        <v>1144.8302897492895</v>
      </c>
      <c r="D14">
        <f>AVERAGE('200 loading'!D14,'200 unloading'!D14)</f>
        <v>1351.7179103963515</v>
      </c>
      <c r="E14">
        <f>AVERAGE('200 loading'!E14,'200 unloading'!E14)</f>
        <v>1436.9822129953541</v>
      </c>
      <c r="F14">
        <f>AVERAGE('200 loading'!F14,'200 unloading'!F14)</f>
        <v>1102.8599218762408</v>
      </c>
      <c r="G14">
        <f>AVERAGE('200 loading'!G14,'200 unloading'!G14)</f>
        <v>1196.6883474579631</v>
      </c>
      <c r="H14">
        <f>AVERAGE('200 loading'!H14,'200 unloading'!H14)</f>
        <v>1371.784496359091</v>
      </c>
      <c r="I14">
        <f>AVERAGE('200 loading'!I14,'200 unloading'!I14)</f>
        <v>1445.2008604820021</v>
      </c>
      <c r="J14">
        <f>AVERAGE('200 loading'!J14,'200 unloading'!J14)</f>
        <v>1148.3068380136715</v>
      </c>
      <c r="K14">
        <f>AVERAGE('200 loading'!K14,'200 unloading'!K14)</f>
        <v>1315.5368217002485</v>
      </c>
      <c r="L14">
        <f>AVERAGE('200 loading'!L14,'200 unloading'!L14)</f>
        <v>1456.795948114921</v>
      </c>
      <c r="M14">
        <f>AVERAGE('200 loading'!M14,'200 unloading'!M14)</f>
        <v>868.14314948623542</v>
      </c>
      <c r="N14">
        <f>AVERAGE('200 loading'!N14,'200 unloading'!N14)</f>
        <v>1485.8972143158148</v>
      </c>
      <c r="O14">
        <f>AVERAGE('200 loading'!O14,'200 unloading'!O14)</f>
        <v>1484.4423345180453</v>
      </c>
      <c r="P14">
        <f>AVERAGE('200 loading'!P14,'200 unloading'!P14)</f>
        <v>340.34884807706794</v>
      </c>
      <c r="Q14">
        <f>AVERAGE('200 loading'!Q14,'200 unloading'!Q14)</f>
        <v>1134.3862512030596</v>
      </c>
      <c r="R14">
        <f>AVERAGE('200 loading'!R14,'200 unloading'!R14)</f>
        <v>1478.5126623813126</v>
      </c>
      <c r="S14">
        <f>AVERAGE('200 loading'!S14,'200 unloading'!S14)</f>
        <v>1420.4322312226564</v>
      </c>
    </row>
    <row r="15" spans="1:19" x14ac:dyDescent="0.25">
      <c r="A15">
        <f>AVERAGE('200 loading'!A15,'200 unloading'!A15)</f>
        <v>200</v>
      </c>
      <c r="B15">
        <f>AVERAGE('200 loading'!B15,'200 unloading'!B15)</f>
        <v>1222.531592583772</v>
      </c>
      <c r="C15">
        <f>AVERAGE('200 loading'!C15,'200 unloading'!C15)</f>
        <v>1288.5089049002781</v>
      </c>
      <c r="D15">
        <f>AVERAGE('200 loading'!D15,'200 unloading'!D15)</f>
        <v>1533.0195899532121</v>
      </c>
      <c r="E15">
        <f>AVERAGE('200 loading'!E15,'200 unloading'!E15)</f>
        <v>1538.0039849161874</v>
      </c>
      <c r="F15">
        <f>AVERAGE('200 loading'!F15,'200 unloading'!F15)</f>
        <v>1230.7769474673694</v>
      </c>
      <c r="G15">
        <f>AVERAGE('200 loading'!G15,'200 unloading'!G15)</f>
        <v>1295.9785021671842</v>
      </c>
      <c r="H15">
        <f>AVERAGE('200 loading'!H15,'200 unloading'!H15)</f>
        <v>1538.1136750592564</v>
      </c>
      <c r="I15">
        <f>AVERAGE('200 loading'!I15,'200 unloading'!I15)</f>
        <v>1591.9724010681477</v>
      </c>
      <c r="J15">
        <f>AVERAGE('200 loading'!J15,'200 unloading'!J15)</f>
        <v>1333.2521476853083</v>
      </c>
      <c r="K15">
        <f>AVERAGE('200 loading'!K15,'200 unloading'!K15)</f>
        <v>1446.1516214013686</v>
      </c>
      <c r="L15">
        <f>AVERAGE('200 loading'!L15,'200 unloading'!L15)</f>
        <v>1558.1272825929873</v>
      </c>
      <c r="M15">
        <f>AVERAGE('200 loading'!M15,'200 unloading'!M15)</f>
        <v>941.1591905919405</v>
      </c>
      <c r="N15">
        <f>AVERAGE('200 loading'!N15,'200 unloading'!N15)</f>
        <v>1629.4740743236305</v>
      </c>
      <c r="O15">
        <f>AVERAGE('200 loading'!O15,'200 unloading'!O15)</f>
        <v>1669.4967693153915</v>
      </c>
      <c r="P15">
        <f>AVERAGE('200 loading'!P15,'200 unloading'!P15)</f>
        <v>412.77886893173707</v>
      </c>
      <c r="Q15">
        <f>AVERAGE('200 loading'!Q15,'200 unloading'!Q15)</f>
        <v>1351.5978079851143</v>
      </c>
      <c r="R15">
        <f>AVERAGE('200 loading'!R15,'200 unloading'!R15)</f>
        <v>1596.1516351998432</v>
      </c>
      <c r="S15">
        <f>AVERAGE('200 loading'!S15,'200 unloading'!S15)</f>
        <v>1571.9581108427815</v>
      </c>
    </row>
    <row r="18" spans="1:19" x14ac:dyDescent="0.25">
      <c r="B18">
        <f>SLOPE($A2:$A15,B2:B15)</f>
        <v>0.15194767136623435</v>
      </c>
      <c r="C18">
        <f t="shared" ref="C18:S18" si="0">SLOPE($A2:$A15,C2:C15)</f>
        <v>0.14603877133804843</v>
      </c>
      <c r="D18">
        <f t="shared" si="0"/>
        <v>0.14768761432298685</v>
      </c>
      <c r="E18">
        <f t="shared" si="0"/>
        <v>0.15306723932761648</v>
      </c>
      <c r="F18">
        <f t="shared" si="0"/>
        <v>0.16457953067052755</v>
      </c>
      <c r="G18">
        <f t="shared" si="0"/>
        <v>0.18931826388454714</v>
      </c>
      <c r="H18">
        <f t="shared" si="0"/>
        <v>0.16914404990581713</v>
      </c>
      <c r="I18">
        <f t="shared" si="0"/>
        <v>0.14317326763904858</v>
      </c>
      <c r="J18">
        <f t="shared" si="0"/>
        <v>0.14645266210062413</v>
      </c>
      <c r="K18">
        <f t="shared" si="0"/>
        <v>0.14173504872536313</v>
      </c>
      <c r="L18">
        <f t="shared" si="0"/>
        <v>0.17324375637112618</v>
      </c>
      <c r="M18">
        <f t="shared" si="0"/>
        <v>0.2653881337525848</v>
      </c>
      <c r="N18">
        <f t="shared" si="0"/>
        <v>0.14586281831568237</v>
      </c>
      <c r="O18">
        <f t="shared" si="0"/>
        <v>0.11513065571959381</v>
      </c>
      <c r="P18">
        <f t="shared" si="0"/>
        <v>0.44531053637266682</v>
      </c>
      <c r="Q18">
        <f t="shared" si="0"/>
        <v>0.14218335368357937</v>
      </c>
      <c r="R18">
        <f t="shared" si="0"/>
        <v>0.16540615158642255</v>
      </c>
      <c r="S18">
        <f t="shared" si="0"/>
        <v>0.12688198904297385</v>
      </c>
    </row>
    <row r="19" spans="1:19" x14ac:dyDescent="0.25">
      <c r="B19">
        <f>INTERCEPT($A2:$A15,B2:B15)</f>
        <v>-2.3888714523821974</v>
      </c>
      <c r="C19">
        <f t="shared" ref="C19:S19" si="1">INTERCEPT($A2:$A15,C2:C15)</f>
        <v>-11.544618024585397</v>
      </c>
      <c r="D19">
        <f t="shared" si="1"/>
        <v>-44.830638213703303</v>
      </c>
      <c r="E19">
        <f t="shared" si="1"/>
        <v>-68.904880560065692</v>
      </c>
      <c r="F19">
        <f t="shared" si="1"/>
        <v>-26.046032704704949</v>
      </c>
      <c r="G19">
        <f t="shared" si="1"/>
        <v>-75.088536048694635</v>
      </c>
      <c r="H19">
        <f t="shared" si="1"/>
        <v>-73.237916834153225</v>
      </c>
      <c r="I19">
        <f t="shared" si="1"/>
        <v>-49.77563184765841</v>
      </c>
      <c r="J19">
        <f t="shared" si="1"/>
        <v>-8.9171688479013724</v>
      </c>
      <c r="K19">
        <f t="shared" si="1"/>
        <v>-35.159641219933526</v>
      </c>
      <c r="L19">
        <f t="shared" si="1"/>
        <v>-101.99872019815584</v>
      </c>
      <c r="M19">
        <f t="shared" si="1"/>
        <v>-78.566350416999029</v>
      </c>
      <c r="N19">
        <f t="shared" si="1"/>
        <v>-60.864212543498844</v>
      </c>
      <c r="O19">
        <f t="shared" si="1"/>
        <v>-15.569352087101699</v>
      </c>
      <c r="P19">
        <f t="shared" si="1"/>
        <v>5.9202511267618263</v>
      </c>
      <c r="Q19">
        <f t="shared" si="1"/>
        <v>2.1309255242069938</v>
      </c>
      <c r="R19">
        <f t="shared" si="1"/>
        <v>-92.712817185653108</v>
      </c>
      <c r="S19">
        <f t="shared" si="1"/>
        <v>-27.004591683815129</v>
      </c>
    </row>
    <row r="20" spans="1:19" x14ac:dyDescent="0.25">
      <c r="B20">
        <f>MAX(B37:B50)/MAX($A:$A)</f>
        <v>8.3140213938120558E-2</v>
      </c>
      <c r="C20">
        <f t="shared" ref="C20:S20" si="2">MAX(C37:C50)/MAX($A:$A)</f>
        <v>0.11686180347407231</v>
      </c>
      <c r="D20">
        <f t="shared" si="2"/>
        <v>9.2113161315549377E-2</v>
      </c>
      <c r="E20">
        <f t="shared" si="2"/>
        <v>0.16743428257035886</v>
      </c>
      <c r="F20">
        <f t="shared" si="2"/>
        <v>0.1174267016521037</v>
      </c>
      <c r="G20">
        <f t="shared" si="2"/>
        <v>0.14868067993353762</v>
      </c>
      <c r="H20">
        <f t="shared" si="2"/>
        <v>6.537570309555292E-2</v>
      </c>
      <c r="I20">
        <f t="shared" si="2"/>
        <v>0.10923870597774851</v>
      </c>
      <c r="J20">
        <f t="shared" si="2"/>
        <v>6.8294212840067411E-2</v>
      </c>
      <c r="K20">
        <f t="shared" si="2"/>
        <v>0.15094635348173824</v>
      </c>
      <c r="L20">
        <f t="shared" si="2"/>
        <v>0.1603144842870573</v>
      </c>
      <c r="M20">
        <f t="shared" si="2"/>
        <v>0.1439693463085534</v>
      </c>
      <c r="N20">
        <f t="shared" si="2"/>
        <v>0.11592265845158209</v>
      </c>
      <c r="O20">
        <f t="shared" si="2"/>
        <v>0.11679547157038613</v>
      </c>
      <c r="P20">
        <f t="shared" si="2"/>
        <v>5.1324846729717988E-2</v>
      </c>
      <c r="Q20">
        <f t="shared" si="2"/>
        <v>2.8471826525474597E-2</v>
      </c>
      <c r="R20">
        <f t="shared" si="2"/>
        <v>0.14349758929435794</v>
      </c>
      <c r="S20">
        <f t="shared" si="2"/>
        <v>0.13775709943923731</v>
      </c>
    </row>
    <row r="22" spans="1:19" x14ac:dyDescent="0.25">
      <c r="A22">
        <v>0</v>
      </c>
      <c r="B22">
        <f>B2*B$18+B$19</f>
        <v>0.81404452422628593</v>
      </c>
      <c r="C22">
        <f t="shared" ref="C22:S35" si="3">C2*C$18+C$19</f>
        <v>-5.1261777687911732</v>
      </c>
      <c r="D22">
        <f t="shared" si="3"/>
        <v>-10.593300706970489</v>
      </c>
      <c r="E22">
        <f t="shared" si="3"/>
        <v>-16.755451979733834</v>
      </c>
      <c r="F22">
        <f t="shared" si="3"/>
        <v>-8.4371699287470783</v>
      </c>
      <c r="G22">
        <f t="shared" si="3"/>
        <v>-19.193800105536013</v>
      </c>
      <c r="H22">
        <f t="shared" si="3"/>
        <v>-2.0916340765054571</v>
      </c>
      <c r="I22">
        <f t="shared" si="3"/>
        <v>-9.7611333637332223</v>
      </c>
      <c r="J22">
        <f t="shared" si="3"/>
        <v>-1.9475464241552132</v>
      </c>
      <c r="K22">
        <f t="shared" si="3"/>
        <v>-17.463038174149631</v>
      </c>
      <c r="L22">
        <f t="shared" si="3"/>
        <v>-17.667035691895123</v>
      </c>
      <c r="M22">
        <f t="shared" si="3"/>
        <v>-18.800464580776442</v>
      </c>
      <c r="N22">
        <f t="shared" si="3"/>
        <v>1.2858499362199041</v>
      </c>
      <c r="O22">
        <f t="shared" si="3"/>
        <v>-9.0826153122982483</v>
      </c>
      <c r="P22">
        <f t="shared" si="3"/>
        <v>7.9056690572668735</v>
      </c>
      <c r="Q22">
        <f t="shared" si="3"/>
        <v>4.0437305742834511</v>
      </c>
      <c r="R22">
        <f t="shared" si="3"/>
        <v>-15.619673034936284</v>
      </c>
      <c r="S22">
        <f t="shared" si="3"/>
        <v>-14.253895288669334</v>
      </c>
    </row>
    <row r="23" spans="1:19" x14ac:dyDescent="0.25">
      <c r="A23">
        <v>4</v>
      </c>
      <c r="B23">
        <f t="shared" ref="B23:Q35" si="4">B3*B$18+B$19</f>
        <v>2.5682946169032572</v>
      </c>
      <c r="C23">
        <f t="shared" si="4"/>
        <v>-2.3394447016083593</v>
      </c>
      <c r="D23">
        <f t="shared" si="4"/>
        <v>-4.7480861596902244</v>
      </c>
      <c r="E23">
        <f t="shared" si="4"/>
        <v>-7.8368418387164098</v>
      </c>
      <c r="F23">
        <f t="shared" si="4"/>
        <v>-4.351686341093469</v>
      </c>
      <c r="G23">
        <f t="shared" si="4"/>
        <v>-9.1318788129493385</v>
      </c>
      <c r="H23">
        <f t="shared" si="4"/>
        <v>0.75606471804371722</v>
      </c>
      <c r="I23">
        <f t="shared" si="4"/>
        <v>-4.1743090525151629</v>
      </c>
      <c r="J23">
        <f t="shared" si="4"/>
        <v>0.62309434630781446</v>
      </c>
      <c r="K23">
        <f t="shared" si="4"/>
        <v>-9.3620948930452315</v>
      </c>
      <c r="L23">
        <f t="shared" si="4"/>
        <v>-9.1738960216430741</v>
      </c>
      <c r="M23">
        <f t="shared" si="4"/>
        <v>-8.9675329225896974</v>
      </c>
      <c r="N23">
        <f t="shared" si="4"/>
        <v>2.554944785775092</v>
      </c>
      <c r="O23">
        <f t="shared" si="4"/>
        <v>-5.5812955475984172</v>
      </c>
      <c r="P23">
        <f t="shared" si="4"/>
        <v>8.1247389097508531</v>
      </c>
      <c r="Q23">
        <f t="shared" si="4"/>
        <v>5.4204546168252072</v>
      </c>
      <c r="R23">
        <f t="shared" si="3"/>
        <v>-7.3061530208601084</v>
      </c>
      <c r="S23">
        <f t="shared" si="3"/>
        <v>-8.8784816846021606</v>
      </c>
    </row>
    <row r="24" spans="1:19" x14ac:dyDescent="0.25">
      <c r="A24">
        <v>8</v>
      </c>
      <c r="B24">
        <f t="shared" si="4"/>
        <v>4.1187837642301517</v>
      </c>
      <c r="C24">
        <f t="shared" si="3"/>
        <v>1.6799721970145054</v>
      </c>
      <c r="D24">
        <f t="shared" si="3"/>
        <v>1.467633186886026</v>
      </c>
      <c r="E24">
        <f t="shared" si="3"/>
        <v>0.64280933917264349</v>
      </c>
      <c r="F24">
        <f t="shared" si="3"/>
        <v>0.4046236343168097</v>
      </c>
      <c r="G24">
        <f t="shared" si="3"/>
        <v>1.1734386537083168</v>
      </c>
      <c r="H24">
        <f t="shared" si="3"/>
        <v>3.8478531256479584</v>
      </c>
      <c r="I24">
        <f t="shared" si="3"/>
        <v>2.357889324511234</v>
      </c>
      <c r="J24">
        <f t="shared" si="3"/>
        <v>4.1042277460360062</v>
      </c>
      <c r="K24">
        <f t="shared" si="3"/>
        <v>-0.52268117699437511</v>
      </c>
      <c r="L24">
        <f t="shared" si="3"/>
        <v>0.4778020923979085</v>
      </c>
      <c r="M24">
        <f t="shared" si="3"/>
        <v>0.55064469442029917</v>
      </c>
      <c r="N24">
        <f t="shared" si="3"/>
        <v>4.526556657183427</v>
      </c>
      <c r="O24">
        <f t="shared" si="3"/>
        <v>0.67944565649345279</v>
      </c>
      <c r="P24">
        <f t="shared" si="3"/>
        <v>8.6556015249470235</v>
      </c>
      <c r="Q24">
        <f t="shared" si="3"/>
        <v>7.8131823174447428</v>
      </c>
      <c r="R24">
        <f t="shared" si="3"/>
        <v>0.69915788194649053</v>
      </c>
      <c r="S24">
        <f t="shared" si="3"/>
        <v>-0.23868974823566447</v>
      </c>
    </row>
    <row r="25" spans="1:19" x14ac:dyDescent="0.25">
      <c r="A25">
        <v>12</v>
      </c>
      <c r="B25">
        <f t="shared" si="4"/>
        <v>7.3665529134652843</v>
      </c>
      <c r="C25">
        <f t="shared" si="3"/>
        <v>6.5515441911885119</v>
      </c>
      <c r="D25">
        <f t="shared" si="3"/>
        <v>9.2161315802473425</v>
      </c>
      <c r="E25">
        <f t="shared" si="3"/>
        <v>9.2589501028017622</v>
      </c>
      <c r="F25">
        <f t="shared" si="3"/>
        <v>8.4653312220134183</v>
      </c>
      <c r="G25">
        <f t="shared" si="3"/>
        <v>10.368122006510504</v>
      </c>
      <c r="H25">
        <f t="shared" si="3"/>
        <v>9.1277257205820774</v>
      </c>
      <c r="I25">
        <f t="shared" si="3"/>
        <v>9.5964861125576491</v>
      </c>
      <c r="J25">
        <f t="shared" si="3"/>
        <v>8.699313224815608</v>
      </c>
      <c r="K25">
        <f t="shared" si="3"/>
        <v>10.10005704707438</v>
      </c>
      <c r="L25">
        <f t="shared" si="3"/>
        <v>9.7236131154140253</v>
      </c>
      <c r="M25">
        <f t="shared" si="3"/>
        <v>10.292173535695824</v>
      </c>
      <c r="N25">
        <f t="shared" si="3"/>
        <v>6.9563510719686334</v>
      </c>
      <c r="O25">
        <f t="shared" si="3"/>
        <v>8.5264971905830436</v>
      </c>
      <c r="P25">
        <f t="shared" si="3"/>
        <v>9.927314438980769</v>
      </c>
      <c r="Q25">
        <f t="shared" si="3"/>
        <v>11.657699555928378</v>
      </c>
      <c r="R25">
        <f t="shared" si="3"/>
        <v>8.9667238803555875</v>
      </c>
      <c r="S25">
        <f t="shared" si="3"/>
        <v>9.807047707824573</v>
      </c>
    </row>
    <row r="26" spans="1:19" x14ac:dyDescent="0.25">
      <c r="A26">
        <v>16</v>
      </c>
      <c r="B26">
        <f t="shared" si="4"/>
        <v>11.533453960401623</v>
      </c>
      <c r="C26">
        <f t="shared" si="3"/>
        <v>13.010238279461785</v>
      </c>
      <c r="D26">
        <f t="shared" si="3"/>
        <v>15.627256737503224</v>
      </c>
      <c r="E26">
        <f t="shared" si="3"/>
        <v>16.34104486054828</v>
      </c>
      <c r="F26">
        <f t="shared" si="3"/>
        <v>14.714091997802576</v>
      </c>
      <c r="G26">
        <f t="shared" si="3"/>
        <v>18.065452997638602</v>
      </c>
      <c r="H26">
        <f t="shared" si="3"/>
        <v>14.015757299457206</v>
      </c>
      <c r="I26">
        <f t="shared" si="3"/>
        <v>15.883927251607012</v>
      </c>
      <c r="J26">
        <f t="shared" si="3"/>
        <v>13.263835857413856</v>
      </c>
      <c r="K26">
        <f t="shared" si="3"/>
        <v>18.105558079178188</v>
      </c>
      <c r="L26">
        <f t="shared" si="3"/>
        <v>17.230419636282548</v>
      </c>
      <c r="M26">
        <f t="shared" si="3"/>
        <v>18.170141702564919</v>
      </c>
      <c r="N26">
        <f t="shared" si="3"/>
        <v>9.3063703551045691</v>
      </c>
      <c r="O26">
        <f t="shared" si="3"/>
        <v>14.549704179137496</v>
      </c>
      <c r="P26">
        <f t="shared" si="3"/>
        <v>11.962347832152595</v>
      </c>
      <c r="Q26">
        <f t="shared" si="3"/>
        <v>15.16951206011187</v>
      </c>
      <c r="R26">
        <f t="shared" si="3"/>
        <v>16.267217417509158</v>
      </c>
      <c r="S26">
        <f t="shared" si="3"/>
        <v>17.356189477478345</v>
      </c>
    </row>
    <row r="27" spans="1:19" x14ac:dyDescent="0.25">
      <c r="A27">
        <v>20</v>
      </c>
      <c r="B27">
        <f t="shared" si="4"/>
        <v>16.108012304699599</v>
      </c>
      <c r="C27">
        <f t="shared" si="3"/>
        <v>18.553076214179907</v>
      </c>
      <c r="D27">
        <f t="shared" si="3"/>
        <v>21.354130075756778</v>
      </c>
      <c r="E27">
        <f t="shared" si="3"/>
        <v>22.618448865648091</v>
      </c>
      <c r="F27">
        <f t="shared" si="3"/>
        <v>19.896213110242776</v>
      </c>
      <c r="G27">
        <f t="shared" si="3"/>
        <v>24.906797629324302</v>
      </c>
      <c r="H27">
        <f t="shared" si="3"/>
        <v>18.563280905857241</v>
      </c>
      <c r="I27">
        <f t="shared" si="3"/>
        <v>21.035835518310357</v>
      </c>
      <c r="J27">
        <f t="shared" si="3"/>
        <v>17.374575659941559</v>
      </c>
      <c r="K27">
        <f t="shared" si="3"/>
        <v>24.975771743971031</v>
      </c>
      <c r="L27">
        <f t="shared" si="3"/>
        <v>24.124424690228807</v>
      </c>
      <c r="M27">
        <f t="shared" si="3"/>
        <v>25.078792500331772</v>
      </c>
      <c r="N27">
        <f t="shared" si="3"/>
        <v>13.106874073696069</v>
      </c>
      <c r="O27">
        <f t="shared" si="3"/>
        <v>20.759351237079684</v>
      </c>
      <c r="P27">
        <f t="shared" si="3"/>
        <v>13.98685020478562</v>
      </c>
      <c r="Q27">
        <f t="shared" si="3"/>
        <v>17.832586357987196</v>
      </c>
      <c r="R27">
        <f t="shared" si="3"/>
        <v>23.016153537125746</v>
      </c>
      <c r="S27">
        <f t="shared" si="3"/>
        <v>23.628394640365215</v>
      </c>
    </row>
    <row r="28" spans="1:19" x14ac:dyDescent="0.25">
      <c r="A28">
        <v>30</v>
      </c>
      <c r="B28">
        <f t="shared" si="4"/>
        <v>30.09428722411014</v>
      </c>
      <c r="C28">
        <f t="shared" si="3"/>
        <v>34.009558050341703</v>
      </c>
      <c r="D28">
        <f t="shared" si="3"/>
        <v>36.541915250626325</v>
      </c>
      <c r="E28">
        <f t="shared" si="3"/>
        <v>39.403461846665309</v>
      </c>
      <c r="F28">
        <f t="shared" si="3"/>
        <v>35.842648260593144</v>
      </c>
      <c r="G28">
        <f t="shared" si="3"/>
        <v>40.636261635608676</v>
      </c>
      <c r="H28">
        <f t="shared" si="3"/>
        <v>30.486338133524441</v>
      </c>
      <c r="I28">
        <f t="shared" si="3"/>
        <v>34.591783124091982</v>
      </c>
      <c r="J28">
        <f t="shared" si="3"/>
        <v>31.075752642883252</v>
      </c>
      <c r="K28">
        <f t="shared" si="3"/>
        <v>40.856252879950837</v>
      </c>
      <c r="L28">
        <f t="shared" si="3"/>
        <v>40.76073643042082</v>
      </c>
      <c r="M28">
        <f t="shared" si="3"/>
        <v>41.177226110620467</v>
      </c>
      <c r="N28">
        <f t="shared" si="3"/>
        <v>26.673102131366683</v>
      </c>
      <c r="O28">
        <f t="shared" si="3"/>
        <v>35.807077027829109</v>
      </c>
      <c r="P28">
        <f t="shared" si="3"/>
        <v>22.154252327201515</v>
      </c>
      <c r="Q28">
        <f t="shared" si="3"/>
        <v>26.765836054103577</v>
      </c>
      <c r="R28">
        <f t="shared" si="3"/>
        <v>38.884774610387865</v>
      </c>
      <c r="S28">
        <f t="shared" si="3"/>
        <v>39.351072686261453</v>
      </c>
    </row>
    <row r="29" spans="1:19" x14ac:dyDescent="0.25">
      <c r="A29">
        <v>40</v>
      </c>
      <c r="B29">
        <f t="shared" si="4"/>
        <v>42.189731516738554</v>
      </c>
      <c r="C29">
        <f t="shared" si="3"/>
        <v>46.570237369404794</v>
      </c>
      <c r="D29">
        <f t="shared" si="3"/>
        <v>48.230540753984933</v>
      </c>
      <c r="E29">
        <f t="shared" si="3"/>
        <v>53.956622326747691</v>
      </c>
      <c r="F29">
        <f t="shared" si="3"/>
        <v>48.452168233603736</v>
      </c>
      <c r="G29">
        <f t="shared" si="3"/>
        <v>54.105099808099794</v>
      </c>
      <c r="H29">
        <f t="shared" si="3"/>
        <v>43.109701073960039</v>
      </c>
      <c r="I29">
        <f t="shared" si="3"/>
        <v>46.54128332415889</v>
      </c>
      <c r="J29">
        <f t="shared" si="3"/>
        <v>43.996189060726721</v>
      </c>
      <c r="K29">
        <f t="shared" si="3"/>
        <v>53.70025574723774</v>
      </c>
      <c r="L29">
        <f t="shared" si="3"/>
        <v>53.668482764293515</v>
      </c>
      <c r="M29">
        <f t="shared" si="3"/>
        <v>54.511544676125368</v>
      </c>
      <c r="N29">
        <f t="shared" si="3"/>
        <v>43.87781110881668</v>
      </c>
      <c r="O29">
        <f t="shared" si="3"/>
        <v>49.859568183988564</v>
      </c>
      <c r="P29">
        <f t="shared" si="3"/>
        <v>32.083331317335407</v>
      </c>
      <c r="Q29">
        <f t="shared" si="3"/>
        <v>36.520484432946333</v>
      </c>
      <c r="R29">
        <f t="shared" si="3"/>
        <v>52.609590901584198</v>
      </c>
      <c r="S29">
        <f t="shared" si="3"/>
        <v>51.441055515495798</v>
      </c>
    </row>
    <row r="30" spans="1:19" x14ac:dyDescent="0.25">
      <c r="A30">
        <v>60</v>
      </c>
      <c r="B30">
        <f t="shared" si="4"/>
        <v>67.252861616410058</v>
      </c>
      <c r="C30">
        <f t="shared" si="3"/>
        <v>71.499822828315814</v>
      </c>
      <c r="D30">
        <f t="shared" si="3"/>
        <v>72.566586967357239</v>
      </c>
      <c r="E30">
        <f t="shared" si="3"/>
        <v>77.712543913950753</v>
      </c>
      <c r="F30">
        <f t="shared" si="3"/>
        <v>72.058979921756588</v>
      </c>
      <c r="G30">
        <f t="shared" si="3"/>
        <v>76.02812645006486</v>
      </c>
      <c r="H30">
        <f t="shared" si="3"/>
        <v>65.646639777362395</v>
      </c>
      <c r="I30">
        <f t="shared" si="3"/>
        <v>69.99201559725833</v>
      </c>
      <c r="J30">
        <f t="shared" si="3"/>
        <v>67.025862319853729</v>
      </c>
      <c r="K30">
        <f t="shared" si="3"/>
        <v>75.835905960725597</v>
      </c>
      <c r="L30">
        <f t="shared" si="3"/>
        <v>77.148237476161796</v>
      </c>
      <c r="M30">
        <f t="shared" si="3"/>
        <v>74.924301436333735</v>
      </c>
      <c r="N30">
        <f t="shared" si="3"/>
        <v>73.491146456942005</v>
      </c>
      <c r="O30">
        <f t="shared" si="3"/>
        <v>73.267540291870262</v>
      </c>
      <c r="P30">
        <f t="shared" si="3"/>
        <v>62.978335778391852</v>
      </c>
      <c r="Q30">
        <f t="shared" si="3"/>
        <v>59.182202118940374</v>
      </c>
      <c r="R30">
        <f t="shared" si="3"/>
        <v>76.215011971833519</v>
      </c>
      <c r="S30">
        <f t="shared" si="3"/>
        <v>75.20659789997967</v>
      </c>
    </row>
    <row r="31" spans="1:19" x14ac:dyDescent="0.25">
      <c r="A31">
        <v>80</v>
      </c>
      <c r="B31">
        <f t="shared" si="4"/>
        <v>89.032171702062158</v>
      </c>
      <c r="C31">
        <f t="shared" si="3"/>
        <v>93.412800020817059</v>
      </c>
      <c r="D31">
        <f t="shared" si="3"/>
        <v>91.800784964781457</v>
      </c>
      <c r="E31">
        <f t="shared" si="3"/>
        <v>97.126159221089267</v>
      </c>
      <c r="F31">
        <f t="shared" si="3"/>
        <v>93.534356143753513</v>
      </c>
      <c r="G31">
        <f t="shared" si="3"/>
        <v>95.072736888546359</v>
      </c>
      <c r="H31">
        <f t="shared" si="3"/>
        <v>87.261247689342099</v>
      </c>
      <c r="I31">
        <f t="shared" si="3"/>
        <v>91.69564090564765</v>
      </c>
      <c r="J31">
        <f t="shared" si="3"/>
        <v>87.764738505391023</v>
      </c>
      <c r="K31">
        <f t="shared" si="3"/>
        <v>95.09641870627118</v>
      </c>
      <c r="L31">
        <f t="shared" si="3"/>
        <v>96.501729167219167</v>
      </c>
      <c r="M31">
        <f t="shared" si="3"/>
        <v>93.504316344391981</v>
      </c>
      <c r="N31">
        <f t="shared" si="3"/>
        <v>94.636432603438124</v>
      </c>
      <c r="O31">
        <f t="shared" si="3"/>
        <v>93.468800645589994</v>
      </c>
      <c r="P31">
        <f t="shared" si="3"/>
        <v>89.874081563493505</v>
      </c>
      <c r="Q31">
        <f t="shared" si="3"/>
        <v>81.875548618206238</v>
      </c>
      <c r="R31">
        <f t="shared" si="3"/>
        <v>95.193796402790696</v>
      </c>
      <c r="S31">
        <f t="shared" si="3"/>
        <v>94.105029472175573</v>
      </c>
    </row>
    <row r="32" spans="1:19" x14ac:dyDescent="0.25">
      <c r="A32">
        <v>100</v>
      </c>
      <c r="B32">
        <f t="shared" si="4"/>
        <v>108.55489536849612</v>
      </c>
      <c r="C32">
        <f t="shared" si="3"/>
        <v>111.65642814730597</v>
      </c>
      <c r="D32">
        <f t="shared" si="3"/>
        <v>108.26949852466979</v>
      </c>
      <c r="E32">
        <f t="shared" si="3"/>
        <v>112.72072226734542</v>
      </c>
      <c r="F32">
        <f t="shared" si="3"/>
        <v>110.35612791162052</v>
      </c>
      <c r="G32">
        <f t="shared" si="3"/>
        <v>110.16458069704294</v>
      </c>
      <c r="H32">
        <f t="shared" si="3"/>
        <v>107.09448846732397</v>
      </c>
      <c r="I32">
        <f t="shared" si="3"/>
        <v>109.25056063590409</v>
      </c>
      <c r="J32">
        <f t="shared" si="3"/>
        <v>107.12935374271021</v>
      </c>
      <c r="K32">
        <f t="shared" si="3"/>
        <v>111.2710125941251</v>
      </c>
      <c r="L32">
        <f t="shared" si="3"/>
        <v>112.25935035957815</v>
      </c>
      <c r="M32">
        <f t="shared" si="3"/>
        <v>110.17198214214704</v>
      </c>
      <c r="N32">
        <f t="shared" si="3"/>
        <v>112.03954904845776</v>
      </c>
      <c r="O32">
        <f t="shared" si="3"/>
        <v>110.12921635585064</v>
      </c>
      <c r="P32">
        <f t="shared" si="3"/>
        <v>109.44444514706339</v>
      </c>
      <c r="Q32">
        <f t="shared" si="3"/>
        <v>102.45574533858917</v>
      </c>
      <c r="R32">
        <f t="shared" si="3"/>
        <v>111.44431037330818</v>
      </c>
      <c r="S32">
        <f t="shared" si="3"/>
        <v>110.64447173523359</v>
      </c>
    </row>
    <row r="33" spans="1:19" x14ac:dyDescent="0.25">
      <c r="A33">
        <v>120</v>
      </c>
      <c r="B33">
        <f t="shared" si="4"/>
        <v>126.53790525240763</v>
      </c>
      <c r="C33">
        <f t="shared" si="3"/>
        <v>128.24931498620117</v>
      </c>
      <c r="D33">
        <f t="shared" si="3"/>
        <v>123.88818587757095</v>
      </c>
      <c r="E33">
        <f t="shared" si="3"/>
        <v>127.2483678425308</v>
      </c>
      <c r="F33">
        <f t="shared" si="3"/>
        <v>127.08752053153657</v>
      </c>
      <c r="G33">
        <f t="shared" si="3"/>
        <v>126.07477383573413</v>
      </c>
      <c r="H33">
        <f t="shared" si="3"/>
        <v>126.4664093064799</v>
      </c>
      <c r="I33">
        <f t="shared" si="3"/>
        <v>127.69926407543662</v>
      </c>
      <c r="J33">
        <f t="shared" si="3"/>
        <v>125.29402139853795</v>
      </c>
      <c r="K33">
        <f t="shared" si="3"/>
        <v>126.29781787824197</v>
      </c>
      <c r="L33">
        <f t="shared" si="3"/>
        <v>126.62695071944336</v>
      </c>
      <c r="M33">
        <f t="shared" si="3"/>
        <v>126.35220376720147</v>
      </c>
      <c r="N33">
        <f t="shared" si="3"/>
        <v>128.85660059731995</v>
      </c>
      <c r="O33">
        <f t="shared" si="3"/>
        <v>125.64033714166612</v>
      </c>
      <c r="P33">
        <f t="shared" si="3"/>
        <v>125.68682202679395</v>
      </c>
      <c r="Q33">
        <f t="shared" si="3"/>
        <v>123.53561616692704</v>
      </c>
      <c r="R33">
        <f t="shared" si="3"/>
        <v>126.48633456719173</v>
      </c>
      <c r="S33">
        <f t="shared" si="3"/>
        <v>126.15995236007547</v>
      </c>
    </row>
    <row r="34" spans="1:19" x14ac:dyDescent="0.25">
      <c r="A34">
        <v>160</v>
      </c>
      <c r="B34">
        <f t="shared" si="4"/>
        <v>160.45704802347319</v>
      </c>
      <c r="C34">
        <f t="shared" si="3"/>
        <v>155.64499088098282</v>
      </c>
      <c r="D34">
        <f t="shared" si="3"/>
        <v>154.80135521038676</v>
      </c>
      <c r="E34">
        <f t="shared" si="3"/>
        <v>151.05001974602214</v>
      </c>
      <c r="F34">
        <f t="shared" si="3"/>
        <v>155.46213563302146</v>
      </c>
      <c r="G34">
        <f t="shared" si="3"/>
        <v>151.46642430291467</v>
      </c>
      <c r="H34">
        <f t="shared" si="3"/>
        <v>158.79126847803508</v>
      </c>
      <c r="I34">
        <f t="shared" si="3"/>
        <v>157.13849774231457</v>
      </c>
      <c r="J34">
        <f t="shared" si="3"/>
        <v>159.25542448755098</v>
      </c>
      <c r="K34">
        <f t="shared" si="3"/>
        <v>151.29803430376057</v>
      </c>
      <c r="L34">
        <f t="shared" si="3"/>
        <v>150.38208211950931</v>
      </c>
      <c r="M34">
        <f t="shared" si="3"/>
        <v>151.82853985524423</v>
      </c>
      <c r="N34">
        <f t="shared" si="3"/>
        <v>155.87294286402741</v>
      </c>
      <c r="O34">
        <f t="shared" si="3"/>
        <v>155.3354672638855</v>
      </c>
      <c r="P34">
        <f t="shared" si="3"/>
        <v>157.48117921778024</v>
      </c>
      <c r="Q34">
        <f t="shared" si="3"/>
        <v>163.42176709280133</v>
      </c>
      <c r="R34">
        <f t="shared" si="3"/>
        <v>151.84227237063547</v>
      </c>
      <c r="S34">
        <f t="shared" si="3"/>
        <v>153.22267511446483</v>
      </c>
    </row>
    <row r="35" spans="1:19" x14ac:dyDescent="0.25">
      <c r="A35">
        <v>200</v>
      </c>
      <c r="B35">
        <f t="shared" si="4"/>
        <v>183.37195721237589</v>
      </c>
      <c r="C35">
        <f t="shared" si="3"/>
        <v>176.62763930518554</v>
      </c>
      <c r="D35">
        <f t="shared" si="3"/>
        <v>181.57736773689012</v>
      </c>
      <c r="E35">
        <f t="shared" si="3"/>
        <v>166.51314348592823</v>
      </c>
      <c r="F35">
        <f t="shared" si="3"/>
        <v>176.51465966957926</v>
      </c>
      <c r="G35">
        <f t="shared" si="3"/>
        <v>170.26386401329248</v>
      </c>
      <c r="H35">
        <f t="shared" si="3"/>
        <v>186.92485938088942</v>
      </c>
      <c r="I35">
        <f t="shared" si="3"/>
        <v>178.1522588044503</v>
      </c>
      <c r="J35">
        <f t="shared" si="3"/>
        <v>186.34115743198652</v>
      </c>
      <c r="K35">
        <f t="shared" si="3"/>
        <v>169.81072930365235</v>
      </c>
      <c r="L35">
        <f t="shared" si="3"/>
        <v>167.93710314258854</v>
      </c>
      <c r="M35">
        <f t="shared" si="3"/>
        <v>171.20613073828932</v>
      </c>
      <c r="N35">
        <f t="shared" si="3"/>
        <v>176.81546830968358</v>
      </c>
      <c r="O35">
        <f t="shared" si="3"/>
        <v>176.64090568592277</v>
      </c>
      <c r="P35">
        <f t="shared" si="3"/>
        <v>189.7350306540564</v>
      </c>
      <c r="Q35">
        <f t="shared" si="3"/>
        <v>194.30563469490508</v>
      </c>
      <c r="R35">
        <f t="shared" si="3"/>
        <v>171.30048214112841</v>
      </c>
      <c r="S35">
        <f t="shared" si="3"/>
        <v>172.44858011215254</v>
      </c>
    </row>
    <row r="37" spans="1:19" x14ac:dyDescent="0.25">
      <c r="A37">
        <v>0</v>
      </c>
      <c r="B37">
        <f>ABS(B22-$A22)</f>
        <v>0.81404452422628593</v>
      </c>
      <c r="C37">
        <f t="shared" ref="C37:S37" si="5">ABS(C22-$A22)</f>
        <v>5.1261777687911732</v>
      </c>
      <c r="D37">
        <f t="shared" si="5"/>
        <v>10.593300706970489</v>
      </c>
      <c r="E37">
        <f t="shared" si="5"/>
        <v>16.755451979733834</v>
      </c>
      <c r="F37">
        <f t="shared" si="5"/>
        <v>8.4371699287470783</v>
      </c>
      <c r="G37">
        <f t="shared" si="5"/>
        <v>19.193800105536013</v>
      </c>
      <c r="H37">
        <f t="shared" si="5"/>
        <v>2.0916340765054571</v>
      </c>
      <c r="I37">
        <f t="shared" si="5"/>
        <v>9.7611333637332223</v>
      </c>
      <c r="J37">
        <f t="shared" si="5"/>
        <v>1.9475464241552132</v>
      </c>
      <c r="K37">
        <f t="shared" si="5"/>
        <v>17.463038174149631</v>
      </c>
      <c r="L37">
        <f t="shared" si="5"/>
        <v>17.667035691895123</v>
      </c>
      <c r="M37">
        <f t="shared" si="5"/>
        <v>18.800464580776442</v>
      </c>
      <c r="N37">
        <f t="shared" si="5"/>
        <v>1.2858499362199041</v>
      </c>
      <c r="O37">
        <f t="shared" si="5"/>
        <v>9.0826153122982483</v>
      </c>
      <c r="P37">
        <f t="shared" si="5"/>
        <v>7.9056690572668735</v>
      </c>
      <c r="Q37">
        <f t="shared" si="5"/>
        <v>4.0437305742834511</v>
      </c>
      <c r="R37">
        <f t="shared" si="5"/>
        <v>15.619673034936284</v>
      </c>
      <c r="S37">
        <f t="shared" si="5"/>
        <v>14.253895288669334</v>
      </c>
    </row>
    <row r="38" spans="1:19" x14ac:dyDescent="0.25">
      <c r="A38">
        <v>4</v>
      </c>
      <c r="B38">
        <f t="shared" ref="B38:S50" si="6">ABS(B23-$A23)</f>
        <v>1.4317053830967428</v>
      </c>
      <c r="C38">
        <f t="shared" si="6"/>
        <v>6.3394447016083593</v>
      </c>
      <c r="D38">
        <f t="shared" si="6"/>
        <v>8.7480861596902244</v>
      </c>
      <c r="E38">
        <f t="shared" si="6"/>
        <v>11.83684183871641</v>
      </c>
      <c r="F38">
        <f t="shared" si="6"/>
        <v>8.351686341093469</v>
      </c>
      <c r="G38">
        <f t="shared" si="6"/>
        <v>13.131878812949338</v>
      </c>
      <c r="H38">
        <f t="shared" si="6"/>
        <v>3.2439352819562828</v>
      </c>
      <c r="I38">
        <f t="shared" si="6"/>
        <v>8.1743090525151629</v>
      </c>
      <c r="J38">
        <f t="shared" si="6"/>
        <v>3.3769056536921855</v>
      </c>
      <c r="K38">
        <f t="shared" si="6"/>
        <v>13.362094893045231</v>
      </c>
      <c r="L38">
        <f t="shared" si="6"/>
        <v>13.173896021643074</v>
      </c>
      <c r="M38">
        <f t="shared" si="6"/>
        <v>12.967532922589697</v>
      </c>
      <c r="N38">
        <f t="shared" si="6"/>
        <v>1.445055214224908</v>
      </c>
      <c r="O38">
        <f t="shared" si="6"/>
        <v>9.5812955475984172</v>
      </c>
      <c r="P38">
        <f t="shared" si="6"/>
        <v>4.1247389097508531</v>
      </c>
      <c r="Q38">
        <f t="shared" si="6"/>
        <v>1.4204546168252072</v>
      </c>
      <c r="R38">
        <f t="shared" si="6"/>
        <v>11.306153020860108</v>
      </c>
      <c r="S38">
        <f t="shared" si="6"/>
        <v>12.878481684602161</v>
      </c>
    </row>
    <row r="39" spans="1:19" x14ac:dyDescent="0.25">
      <c r="A39">
        <v>8</v>
      </c>
      <c r="B39">
        <f t="shared" si="6"/>
        <v>3.8812162357698483</v>
      </c>
      <c r="C39">
        <f t="shared" si="6"/>
        <v>6.3200278029854946</v>
      </c>
      <c r="D39">
        <f t="shared" si="6"/>
        <v>6.532366813113974</v>
      </c>
      <c r="E39">
        <f t="shared" si="6"/>
        <v>7.3571906608273565</v>
      </c>
      <c r="F39">
        <f t="shared" si="6"/>
        <v>7.5953763656831903</v>
      </c>
      <c r="G39">
        <f t="shared" si="6"/>
        <v>6.8265613462916832</v>
      </c>
      <c r="H39">
        <f t="shared" si="6"/>
        <v>4.1521468743520416</v>
      </c>
      <c r="I39">
        <f t="shared" si="6"/>
        <v>5.642110675488766</v>
      </c>
      <c r="J39">
        <f t="shared" si="6"/>
        <v>3.8957722539639938</v>
      </c>
      <c r="K39">
        <f t="shared" si="6"/>
        <v>8.5226811769943751</v>
      </c>
      <c r="L39">
        <f t="shared" si="6"/>
        <v>7.5221979076020915</v>
      </c>
      <c r="M39">
        <f t="shared" si="6"/>
        <v>7.4493553055797008</v>
      </c>
      <c r="N39">
        <f t="shared" si="6"/>
        <v>3.473443342816573</v>
      </c>
      <c r="O39">
        <f t="shared" si="6"/>
        <v>7.3205543435065472</v>
      </c>
      <c r="P39">
        <f t="shared" si="6"/>
        <v>0.65560152494702351</v>
      </c>
      <c r="Q39">
        <f t="shared" si="6"/>
        <v>0.18681768255525721</v>
      </c>
      <c r="R39">
        <f t="shared" si="6"/>
        <v>7.3008421180535095</v>
      </c>
      <c r="S39">
        <f t="shared" si="6"/>
        <v>8.2386897482356645</v>
      </c>
    </row>
    <row r="40" spans="1:19" x14ac:dyDescent="0.25">
      <c r="A40">
        <v>12</v>
      </c>
      <c r="B40">
        <f t="shared" si="6"/>
        <v>4.6334470865347157</v>
      </c>
      <c r="C40">
        <f t="shared" si="6"/>
        <v>5.4484558088114881</v>
      </c>
      <c r="D40">
        <f t="shared" si="6"/>
        <v>2.7838684197526575</v>
      </c>
      <c r="E40">
        <f t="shared" si="6"/>
        <v>2.7410498971982378</v>
      </c>
      <c r="F40">
        <f t="shared" si="6"/>
        <v>3.5346687779865817</v>
      </c>
      <c r="G40">
        <f t="shared" si="6"/>
        <v>1.6318779934894962</v>
      </c>
      <c r="H40">
        <f t="shared" si="6"/>
        <v>2.8722742794179226</v>
      </c>
      <c r="I40">
        <f t="shared" si="6"/>
        <v>2.4035138874423509</v>
      </c>
      <c r="J40">
        <f t="shared" si="6"/>
        <v>3.300686775184392</v>
      </c>
      <c r="K40">
        <f t="shared" si="6"/>
        <v>1.8999429529256204</v>
      </c>
      <c r="L40">
        <f t="shared" si="6"/>
        <v>2.2763868845859747</v>
      </c>
      <c r="M40">
        <f t="shared" si="6"/>
        <v>1.7078264643041763</v>
      </c>
      <c r="N40">
        <f t="shared" si="6"/>
        <v>5.0436489280313666</v>
      </c>
      <c r="O40">
        <f t="shared" si="6"/>
        <v>3.4735028094169564</v>
      </c>
      <c r="P40">
        <f t="shared" si="6"/>
        <v>2.072685561019231</v>
      </c>
      <c r="Q40">
        <f t="shared" si="6"/>
        <v>0.34230044407162197</v>
      </c>
      <c r="R40">
        <f t="shared" si="6"/>
        <v>3.0332761196444125</v>
      </c>
      <c r="S40">
        <f t="shared" si="6"/>
        <v>2.192952292175427</v>
      </c>
    </row>
    <row r="41" spans="1:19" x14ac:dyDescent="0.25">
      <c r="A41">
        <v>16</v>
      </c>
      <c r="B41">
        <f t="shared" si="6"/>
        <v>4.4665460395983771</v>
      </c>
      <c r="C41">
        <f t="shared" si="6"/>
        <v>2.9897617205382154</v>
      </c>
      <c r="D41">
        <f t="shared" si="6"/>
        <v>0.37274326249677614</v>
      </c>
      <c r="E41">
        <f t="shared" si="6"/>
        <v>0.34104486054827987</v>
      </c>
      <c r="F41">
        <f t="shared" si="6"/>
        <v>1.2859080021974236</v>
      </c>
      <c r="G41">
        <f t="shared" si="6"/>
        <v>2.0654529976386016</v>
      </c>
      <c r="H41">
        <f t="shared" si="6"/>
        <v>1.9842427005427936</v>
      </c>
      <c r="I41">
        <f t="shared" si="6"/>
        <v>0.11607274839298753</v>
      </c>
      <c r="J41">
        <f t="shared" si="6"/>
        <v>2.7361641425861443</v>
      </c>
      <c r="K41">
        <f t="shared" si="6"/>
        <v>2.1055580791781878</v>
      </c>
      <c r="L41">
        <f t="shared" si="6"/>
        <v>1.2304196362825479</v>
      </c>
      <c r="M41">
        <f t="shared" si="6"/>
        <v>2.1701417025649192</v>
      </c>
      <c r="N41">
        <f t="shared" si="6"/>
        <v>6.6936296448954309</v>
      </c>
      <c r="O41">
        <f t="shared" si="6"/>
        <v>1.4502958208625039</v>
      </c>
      <c r="P41">
        <f t="shared" si="6"/>
        <v>4.0376521678474049</v>
      </c>
      <c r="Q41">
        <f t="shared" si="6"/>
        <v>0.83048793988812974</v>
      </c>
      <c r="R41">
        <f t="shared" si="6"/>
        <v>0.26721741750915839</v>
      </c>
      <c r="S41">
        <f t="shared" si="6"/>
        <v>1.3561894774783454</v>
      </c>
    </row>
    <row r="42" spans="1:19" x14ac:dyDescent="0.25">
      <c r="A42">
        <v>20</v>
      </c>
      <c r="B42">
        <f t="shared" si="6"/>
        <v>3.8919876953004007</v>
      </c>
      <c r="C42">
        <f t="shared" si="6"/>
        <v>1.4469237858200934</v>
      </c>
      <c r="D42">
        <f t="shared" si="6"/>
        <v>1.3541300757567782</v>
      </c>
      <c r="E42">
        <f t="shared" si="6"/>
        <v>2.6184488656480909</v>
      </c>
      <c r="F42">
        <f t="shared" si="6"/>
        <v>0.10378688975722383</v>
      </c>
      <c r="G42">
        <f t="shared" si="6"/>
        <v>4.9067976293243021</v>
      </c>
      <c r="H42">
        <f t="shared" si="6"/>
        <v>1.4367190941427594</v>
      </c>
      <c r="I42">
        <f t="shared" si="6"/>
        <v>1.0358355183103569</v>
      </c>
      <c r="J42">
        <f t="shared" si="6"/>
        <v>2.6254243400584407</v>
      </c>
      <c r="K42">
        <f t="shared" si="6"/>
        <v>4.9757717439710305</v>
      </c>
      <c r="L42">
        <f t="shared" si="6"/>
        <v>4.1244246902288069</v>
      </c>
      <c r="M42">
        <f t="shared" si="6"/>
        <v>5.0787925003317724</v>
      </c>
      <c r="N42">
        <f t="shared" si="6"/>
        <v>6.8931259263039308</v>
      </c>
      <c r="O42">
        <f t="shared" si="6"/>
        <v>0.75935123707968444</v>
      </c>
      <c r="P42">
        <f t="shared" si="6"/>
        <v>6.01314979521438</v>
      </c>
      <c r="Q42">
        <f t="shared" si="6"/>
        <v>2.1674136420128036</v>
      </c>
      <c r="R42">
        <f t="shared" si="6"/>
        <v>3.0161535371257457</v>
      </c>
      <c r="S42">
        <f t="shared" si="6"/>
        <v>3.6283946403652152</v>
      </c>
    </row>
    <row r="43" spans="1:19" x14ac:dyDescent="0.25">
      <c r="A43">
        <v>30</v>
      </c>
      <c r="B43">
        <f t="shared" si="6"/>
        <v>9.4287224110139789E-2</v>
      </c>
      <c r="C43">
        <f t="shared" si="6"/>
        <v>4.0095580503417025</v>
      </c>
      <c r="D43">
        <f t="shared" si="6"/>
        <v>6.5419152506263245</v>
      </c>
      <c r="E43">
        <f t="shared" si="6"/>
        <v>9.4034618466653086</v>
      </c>
      <c r="F43">
        <f t="shared" si="6"/>
        <v>5.842648260593144</v>
      </c>
      <c r="G43">
        <f t="shared" si="6"/>
        <v>10.636261635608676</v>
      </c>
      <c r="H43">
        <f t="shared" si="6"/>
        <v>0.48633813352444122</v>
      </c>
      <c r="I43">
        <f t="shared" si="6"/>
        <v>4.5917831240919824</v>
      </c>
      <c r="J43">
        <f t="shared" si="6"/>
        <v>1.075752642883252</v>
      </c>
      <c r="K43">
        <f t="shared" si="6"/>
        <v>10.856252879950837</v>
      </c>
      <c r="L43">
        <f t="shared" si="6"/>
        <v>10.76073643042082</v>
      </c>
      <c r="M43">
        <f t="shared" si="6"/>
        <v>11.177226110620467</v>
      </c>
      <c r="N43">
        <f t="shared" si="6"/>
        <v>3.326897868633317</v>
      </c>
      <c r="O43">
        <f t="shared" si="6"/>
        <v>5.8070770278291093</v>
      </c>
      <c r="P43">
        <f t="shared" si="6"/>
        <v>7.8457476727984847</v>
      </c>
      <c r="Q43">
        <f t="shared" si="6"/>
        <v>3.2341639458964231</v>
      </c>
      <c r="R43">
        <f t="shared" si="6"/>
        <v>8.8847746103878649</v>
      </c>
      <c r="S43">
        <f t="shared" si="6"/>
        <v>9.3510726862614533</v>
      </c>
    </row>
    <row r="44" spans="1:19" x14ac:dyDescent="0.25">
      <c r="A44">
        <v>40</v>
      </c>
      <c r="B44">
        <f t="shared" si="6"/>
        <v>2.1897315167385543</v>
      </c>
      <c r="C44">
        <f t="shared" si="6"/>
        <v>6.5702373694047935</v>
      </c>
      <c r="D44">
        <f t="shared" si="6"/>
        <v>8.2305407539849327</v>
      </c>
      <c r="E44">
        <f t="shared" si="6"/>
        <v>13.956622326747691</v>
      </c>
      <c r="F44">
        <f t="shared" si="6"/>
        <v>8.4521682336037358</v>
      </c>
      <c r="G44">
        <f t="shared" si="6"/>
        <v>14.105099808099794</v>
      </c>
      <c r="H44">
        <f t="shared" si="6"/>
        <v>3.1097010739600393</v>
      </c>
      <c r="I44">
        <f t="shared" si="6"/>
        <v>6.5412833241588899</v>
      </c>
      <c r="J44">
        <f t="shared" si="6"/>
        <v>3.9961890607267208</v>
      </c>
      <c r="K44">
        <f t="shared" si="6"/>
        <v>13.70025574723774</v>
      </c>
      <c r="L44">
        <f t="shared" si="6"/>
        <v>13.668482764293515</v>
      </c>
      <c r="M44">
        <f t="shared" si="6"/>
        <v>14.511544676125368</v>
      </c>
      <c r="N44">
        <f t="shared" si="6"/>
        <v>3.8778111088166796</v>
      </c>
      <c r="O44">
        <f t="shared" si="6"/>
        <v>9.8595681839885643</v>
      </c>
      <c r="P44">
        <f t="shared" si="6"/>
        <v>7.9166686826645929</v>
      </c>
      <c r="Q44">
        <f t="shared" si="6"/>
        <v>3.4795155670536673</v>
      </c>
      <c r="R44">
        <f t="shared" si="6"/>
        <v>12.609590901584198</v>
      </c>
      <c r="S44">
        <f t="shared" si="6"/>
        <v>11.441055515495798</v>
      </c>
    </row>
    <row r="45" spans="1:19" x14ac:dyDescent="0.25">
      <c r="A45">
        <v>60</v>
      </c>
      <c r="B45">
        <f t="shared" si="6"/>
        <v>7.2528616164100583</v>
      </c>
      <c r="C45">
        <f t="shared" si="6"/>
        <v>11.499822828315814</v>
      </c>
      <c r="D45">
        <f t="shared" si="6"/>
        <v>12.566586967357239</v>
      </c>
      <c r="E45">
        <f t="shared" si="6"/>
        <v>17.712543913950753</v>
      </c>
      <c r="F45">
        <f t="shared" si="6"/>
        <v>12.058979921756588</v>
      </c>
      <c r="G45">
        <f t="shared" si="6"/>
        <v>16.02812645006486</v>
      </c>
      <c r="H45">
        <f t="shared" si="6"/>
        <v>5.6466397773623953</v>
      </c>
      <c r="I45">
        <f t="shared" si="6"/>
        <v>9.9920155972583302</v>
      </c>
      <c r="J45">
        <f t="shared" si="6"/>
        <v>7.0258623198537293</v>
      </c>
      <c r="K45">
        <f t="shared" si="6"/>
        <v>15.835905960725597</v>
      </c>
      <c r="L45">
        <f t="shared" si="6"/>
        <v>17.148237476161796</v>
      </c>
      <c r="M45">
        <f t="shared" si="6"/>
        <v>14.924301436333735</v>
      </c>
      <c r="N45">
        <f t="shared" si="6"/>
        <v>13.491146456942005</v>
      </c>
      <c r="O45">
        <f t="shared" si="6"/>
        <v>13.267540291870262</v>
      </c>
      <c r="P45">
        <f t="shared" si="6"/>
        <v>2.9783357783918518</v>
      </c>
      <c r="Q45">
        <f t="shared" si="6"/>
        <v>0.81779788105962581</v>
      </c>
      <c r="R45">
        <f t="shared" si="6"/>
        <v>16.215011971833519</v>
      </c>
      <c r="S45">
        <f t="shared" si="6"/>
        <v>15.20659789997967</v>
      </c>
    </row>
    <row r="46" spans="1:19" x14ac:dyDescent="0.25">
      <c r="A46">
        <v>80</v>
      </c>
      <c r="B46">
        <f t="shared" si="6"/>
        <v>9.0321717020621577</v>
      </c>
      <c r="C46">
        <f t="shared" si="6"/>
        <v>13.412800020817059</v>
      </c>
      <c r="D46">
        <f t="shared" si="6"/>
        <v>11.800784964781457</v>
      </c>
      <c r="E46">
        <f t="shared" si="6"/>
        <v>17.126159221089267</v>
      </c>
      <c r="F46">
        <f t="shared" si="6"/>
        <v>13.534356143753513</v>
      </c>
      <c r="G46">
        <f t="shared" si="6"/>
        <v>15.072736888546359</v>
      </c>
      <c r="H46">
        <f t="shared" si="6"/>
        <v>7.261247689342099</v>
      </c>
      <c r="I46">
        <f t="shared" si="6"/>
        <v>11.69564090564765</v>
      </c>
      <c r="J46">
        <f t="shared" si="6"/>
        <v>7.7647385053910227</v>
      </c>
      <c r="K46">
        <f t="shared" si="6"/>
        <v>15.09641870627118</v>
      </c>
      <c r="L46">
        <f t="shared" si="6"/>
        <v>16.501729167219167</v>
      </c>
      <c r="M46">
        <f t="shared" si="6"/>
        <v>13.504316344391981</v>
      </c>
      <c r="N46">
        <f t="shared" si="6"/>
        <v>14.636432603438124</v>
      </c>
      <c r="O46">
        <f t="shared" si="6"/>
        <v>13.468800645589994</v>
      </c>
      <c r="P46">
        <f t="shared" si="6"/>
        <v>9.8740815634935046</v>
      </c>
      <c r="Q46">
        <f t="shared" si="6"/>
        <v>1.8755486182062384</v>
      </c>
      <c r="R46">
        <f t="shared" si="6"/>
        <v>15.193796402790696</v>
      </c>
      <c r="S46">
        <f t="shared" si="6"/>
        <v>14.105029472175573</v>
      </c>
    </row>
    <row r="47" spans="1:19" x14ac:dyDescent="0.25">
      <c r="A47">
        <v>100</v>
      </c>
      <c r="B47">
        <f t="shared" si="6"/>
        <v>8.5548953684961191</v>
      </c>
      <c r="C47">
        <f t="shared" si="6"/>
        <v>11.656428147305974</v>
      </c>
      <c r="D47">
        <f t="shared" si="6"/>
        <v>8.2694985246697854</v>
      </c>
      <c r="E47">
        <f t="shared" si="6"/>
        <v>12.720722267345423</v>
      </c>
      <c r="F47">
        <f t="shared" si="6"/>
        <v>10.356127911620518</v>
      </c>
      <c r="G47">
        <f t="shared" si="6"/>
        <v>10.164580697042936</v>
      </c>
      <c r="H47">
        <f t="shared" si="6"/>
        <v>7.0944884673239699</v>
      </c>
      <c r="I47">
        <f t="shared" si="6"/>
        <v>9.2505606359040939</v>
      </c>
      <c r="J47">
        <f t="shared" si="6"/>
        <v>7.1293537427102081</v>
      </c>
      <c r="K47">
        <f t="shared" si="6"/>
        <v>11.271012594125096</v>
      </c>
      <c r="L47">
        <f t="shared" si="6"/>
        <v>12.25935035957815</v>
      </c>
      <c r="M47">
        <f t="shared" si="6"/>
        <v>10.171982142147044</v>
      </c>
      <c r="N47">
        <f t="shared" si="6"/>
        <v>12.039549048457758</v>
      </c>
      <c r="O47">
        <f t="shared" si="6"/>
        <v>10.129216355850645</v>
      </c>
      <c r="P47">
        <f t="shared" si="6"/>
        <v>9.4444451470633908</v>
      </c>
      <c r="Q47">
        <f t="shared" si="6"/>
        <v>2.4557453385891677</v>
      </c>
      <c r="R47">
        <f t="shared" si="6"/>
        <v>11.444310373308184</v>
      </c>
      <c r="S47">
        <f t="shared" si="6"/>
        <v>10.644471735233594</v>
      </c>
    </row>
    <row r="48" spans="1:19" x14ac:dyDescent="0.25">
      <c r="A48">
        <v>120</v>
      </c>
      <c r="B48">
        <f t="shared" si="6"/>
        <v>6.5379052524076258</v>
      </c>
      <c r="C48">
        <f t="shared" si="6"/>
        <v>8.2493149862011705</v>
      </c>
      <c r="D48">
        <f t="shared" si="6"/>
        <v>3.8881858775709475</v>
      </c>
      <c r="E48">
        <f t="shared" si="6"/>
        <v>7.2483678425307971</v>
      </c>
      <c r="F48">
        <f t="shared" si="6"/>
        <v>7.087520531536569</v>
      </c>
      <c r="G48">
        <f t="shared" si="6"/>
        <v>6.0747738357341348</v>
      </c>
      <c r="H48">
        <f t="shared" si="6"/>
        <v>6.4664093064799033</v>
      </c>
      <c r="I48">
        <f t="shared" si="6"/>
        <v>7.6992640754366164</v>
      </c>
      <c r="J48">
        <f t="shared" si="6"/>
        <v>5.2940213985379501</v>
      </c>
      <c r="K48">
        <f t="shared" si="6"/>
        <v>6.2978178782419718</v>
      </c>
      <c r="L48">
        <f t="shared" si="6"/>
        <v>6.6269507194433572</v>
      </c>
      <c r="M48">
        <f t="shared" si="6"/>
        <v>6.3522037672014733</v>
      </c>
      <c r="N48">
        <f t="shared" si="6"/>
        <v>8.8566005973199537</v>
      </c>
      <c r="O48">
        <f t="shared" si="6"/>
        <v>5.640337141666123</v>
      </c>
      <c r="P48">
        <f t="shared" si="6"/>
        <v>5.6868220267939478</v>
      </c>
      <c r="Q48">
        <f t="shared" si="6"/>
        <v>3.5356161669270421</v>
      </c>
      <c r="R48">
        <f t="shared" si="6"/>
        <v>6.486334567191733</v>
      </c>
      <c r="S48">
        <f t="shared" si="6"/>
        <v>6.1599523600754651</v>
      </c>
    </row>
    <row r="49" spans="1:19" x14ac:dyDescent="0.25">
      <c r="A49">
        <v>160</v>
      </c>
      <c r="B49">
        <f t="shared" si="6"/>
        <v>0.45704802347319173</v>
      </c>
      <c r="C49">
        <f t="shared" si="6"/>
        <v>4.3550091190171827</v>
      </c>
      <c r="D49">
        <f t="shared" si="6"/>
        <v>5.1986447896132404</v>
      </c>
      <c r="E49">
        <f t="shared" si="6"/>
        <v>8.9499802539778557</v>
      </c>
      <c r="F49">
        <f t="shared" si="6"/>
        <v>4.537864366978539</v>
      </c>
      <c r="G49">
        <f t="shared" si="6"/>
        <v>8.5335756970853254</v>
      </c>
      <c r="H49">
        <f t="shared" si="6"/>
        <v>1.2087315219649213</v>
      </c>
      <c r="I49">
        <f t="shared" si="6"/>
        <v>2.8615022576854301</v>
      </c>
      <c r="J49">
        <f t="shared" si="6"/>
        <v>0.74457551244901765</v>
      </c>
      <c r="K49">
        <f t="shared" si="6"/>
        <v>8.7019656962394265</v>
      </c>
      <c r="L49">
        <f t="shared" si="6"/>
        <v>9.617917880490694</v>
      </c>
      <c r="M49">
        <f t="shared" si="6"/>
        <v>8.1714601447557698</v>
      </c>
      <c r="N49">
        <f t="shared" si="6"/>
        <v>4.1270571359725921</v>
      </c>
      <c r="O49">
        <f t="shared" si="6"/>
        <v>4.664532736114495</v>
      </c>
      <c r="P49">
        <f t="shared" si="6"/>
        <v>2.5188207822197626</v>
      </c>
      <c r="Q49">
        <f t="shared" si="6"/>
        <v>3.421767092801332</v>
      </c>
      <c r="R49">
        <f t="shared" si="6"/>
        <v>8.1577276293645298</v>
      </c>
      <c r="S49">
        <f t="shared" si="6"/>
        <v>6.7773248855351653</v>
      </c>
    </row>
    <row r="50" spans="1:19" x14ac:dyDescent="0.25">
      <c r="A50">
        <v>200</v>
      </c>
      <c r="B50">
        <f t="shared" si="6"/>
        <v>16.628042787624111</v>
      </c>
      <c r="C50">
        <f t="shared" si="6"/>
        <v>23.372360694814461</v>
      </c>
      <c r="D50">
        <f t="shared" si="6"/>
        <v>18.422632263109875</v>
      </c>
      <c r="E50">
        <f t="shared" si="6"/>
        <v>33.486856514071775</v>
      </c>
      <c r="F50">
        <f t="shared" si="6"/>
        <v>23.48534033042074</v>
      </c>
      <c r="G50">
        <f t="shared" si="6"/>
        <v>29.736135986707524</v>
      </c>
      <c r="H50">
        <f t="shared" si="6"/>
        <v>13.075140619110584</v>
      </c>
      <c r="I50">
        <f t="shared" si="6"/>
        <v>21.847741195549702</v>
      </c>
      <c r="J50">
        <f t="shared" si="6"/>
        <v>13.658842568013483</v>
      </c>
      <c r="K50">
        <f t="shared" si="6"/>
        <v>30.189270696347648</v>
      </c>
      <c r="L50">
        <f t="shared" si="6"/>
        <v>32.062896857411459</v>
      </c>
      <c r="M50">
        <f t="shared" si="6"/>
        <v>28.793869261710682</v>
      </c>
      <c r="N50">
        <f t="shared" si="6"/>
        <v>23.184531690316419</v>
      </c>
      <c r="O50">
        <f t="shared" si="6"/>
        <v>23.359094314077225</v>
      </c>
      <c r="P50">
        <f t="shared" si="6"/>
        <v>10.264969345943598</v>
      </c>
      <c r="Q50">
        <f t="shared" si="6"/>
        <v>5.6943653050949194</v>
      </c>
      <c r="R50">
        <f t="shared" si="6"/>
        <v>28.699517858871587</v>
      </c>
      <c r="S50">
        <f t="shared" si="6"/>
        <v>27.551419887847459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1050-5255-4791-A22A-C692D53FBB50}">
  <dimension ref="A1:T28"/>
  <sheetViews>
    <sheetView zoomScaleNormal="100" workbookViewId="0">
      <selection activeCell="I31" sqref="I31"/>
    </sheetView>
  </sheetViews>
  <sheetFormatPr defaultRowHeight="15" x14ac:dyDescent="0.25"/>
  <sheetData>
    <row r="1" spans="1:20" x14ac:dyDescent="0.25">
      <c r="B1">
        <v>60</v>
      </c>
      <c r="O1">
        <v>60</v>
      </c>
      <c r="P1">
        <v>1.1499913086587703E-2</v>
      </c>
      <c r="Q1">
        <v>100</v>
      </c>
      <c r="R1">
        <v>3.057066536416542E-2</v>
      </c>
      <c r="S1">
        <v>200</v>
      </c>
      <c r="T1">
        <v>2.931417097988671E-2</v>
      </c>
    </row>
    <row r="2" spans="1:20" x14ac:dyDescent="0.25">
      <c r="B2" t="s">
        <v>19</v>
      </c>
      <c r="C2" t="s">
        <v>20</v>
      </c>
      <c r="D2" t="s">
        <v>21</v>
      </c>
      <c r="F2" t="s">
        <v>19</v>
      </c>
      <c r="G2" t="s">
        <v>20</v>
      </c>
      <c r="H2" t="s">
        <v>21</v>
      </c>
      <c r="J2" t="s">
        <v>19</v>
      </c>
      <c r="K2" t="s">
        <v>20</v>
      </c>
      <c r="L2" t="s">
        <v>21</v>
      </c>
      <c r="O2">
        <v>60</v>
      </c>
      <c r="P2">
        <v>2.4823971502405763E-2</v>
      </c>
      <c r="Q2">
        <v>100</v>
      </c>
      <c r="R2">
        <v>3.4068427384860059E-2</v>
      </c>
      <c r="S2">
        <v>200</v>
      </c>
      <c r="T2">
        <v>5.3061626145334911E-2</v>
      </c>
    </row>
    <row r="3" spans="1:20" x14ac:dyDescent="0.25">
      <c r="A3">
        <v>60</v>
      </c>
      <c r="B3">
        <v>1.1499913086587703E-2</v>
      </c>
      <c r="C3">
        <v>8.5030584702486797E-2</v>
      </c>
      <c r="D3">
        <v>4.051123835631406E-2</v>
      </c>
      <c r="E3">
        <v>100</v>
      </c>
      <c r="F3">
        <v>3.057066536416542E-2</v>
      </c>
      <c r="G3">
        <v>9.1322344060054378E-2</v>
      </c>
      <c r="H3">
        <v>5.634530866602603E-2</v>
      </c>
      <c r="I3">
        <v>200</v>
      </c>
      <c r="J3">
        <v>2.931417097988671E-2</v>
      </c>
      <c r="K3">
        <v>0.13419205176123228</v>
      </c>
      <c r="L3">
        <v>8.3140213938120558E-2</v>
      </c>
      <c r="O3">
        <v>60</v>
      </c>
      <c r="P3">
        <v>2.2985899090809881E-2</v>
      </c>
      <c r="Q3">
        <v>100</v>
      </c>
      <c r="R3">
        <v>5.4223123732545273E-2</v>
      </c>
      <c r="S3">
        <v>200</v>
      </c>
      <c r="T3">
        <v>3.2203997914401442E-2</v>
      </c>
    </row>
    <row r="4" spans="1:20" x14ac:dyDescent="0.25">
      <c r="A4">
        <v>60</v>
      </c>
      <c r="B4">
        <v>2.4823971502405763E-2</v>
      </c>
      <c r="C4">
        <v>8.812726466346632E-2</v>
      </c>
      <c r="D4">
        <v>5.4151701187774633E-2</v>
      </c>
      <c r="E4">
        <v>100</v>
      </c>
      <c r="F4">
        <v>3.4068427384860059E-2</v>
      </c>
      <c r="G4">
        <v>0.10485753967366804</v>
      </c>
      <c r="H4">
        <v>6.8952748894303403E-2</v>
      </c>
      <c r="I4">
        <v>200</v>
      </c>
      <c r="J4">
        <v>5.3061626145334911E-2</v>
      </c>
      <c r="K4">
        <v>0.17960729058836081</v>
      </c>
      <c r="L4">
        <v>0.11686180347407231</v>
      </c>
      <c r="O4">
        <v>60</v>
      </c>
      <c r="P4">
        <v>1.9790200698885721E-2</v>
      </c>
      <c r="Q4">
        <v>100</v>
      </c>
      <c r="R4">
        <v>6.6076898738757564E-2</v>
      </c>
      <c r="S4">
        <v>200</v>
      </c>
      <c r="T4">
        <v>9.8185051997715503E-2</v>
      </c>
    </row>
    <row r="5" spans="1:20" x14ac:dyDescent="0.25">
      <c r="A5">
        <v>60</v>
      </c>
      <c r="B5">
        <v>2.2985899090809881E-2</v>
      </c>
      <c r="C5">
        <v>0.10632796944457515</v>
      </c>
      <c r="D5">
        <v>6.3255552496542813E-2</v>
      </c>
      <c r="E5">
        <v>100</v>
      </c>
      <c r="F5">
        <v>5.4223123732545273E-2</v>
      </c>
      <c r="G5">
        <v>0.12529863040600786</v>
      </c>
      <c r="H5">
        <v>8.9393621566369749E-2</v>
      </c>
      <c r="I5">
        <v>200</v>
      </c>
      <c r="J5">
        <v>3.2203997914401442E-2</v>
      </c>
      <c r="K5">
        <v>0.15519052285935517</v>
      </c>
      <c r="L5">
        <v>9.2113161315549377E-2</v>
      </c>
      <c r="O5">
        <v>60</v>
      </c>
      <c r="P5">
        <v>3.6103078141727467E-2</v>
      </c>
      <c r="Q5">
        <v>100</v>
      </c>
      <c r="R5">
        <v>5.1817572933259157E-2</v>
      </c>
      <c r="S5">
        <v>200</v>
      </c>
      <c r="T5">
        <v>4.102668091227301E-2</v>
      </c>
    </row>
    <row r="6" spans="1:20" x14ac:dyDescent="0.25">
      <c r="A6">
        <v>60</v>
      </c>
      <c r="B6">
        <v>1.9790200698885721E-2</v>
      </c>
      <c r="C6">
        <v>0.12101947872784749</v>
      </c>
      <c r="D6">
        <v>6.4398528085461967E-2</v>
      </c>
      <c r="E6">
        <v>100</v>
      </c>
      <c r="F6">
        <v>6.6076898738757564E-2</v>
      </c>
      <c r="G6">
        <v>0.15593808702452208</v>
      </c>
      <c r="H6">
        <v>0.10746912837879165</v>
      </c>
      <c r="I6">
        <v>200</v>
      </c>
      <c r="J6">
        <v>9.8185051997715503E-2</v>
      </c>
      <c r="K6">
        <v>0.2496576797945248</v>
      </c>
      <c r="L6">
        <v>0.16743428257035886</v>
      </c>
      <c r="O6">
        <v>60</v>
      </c>
      <c r="P6">
        <v>3.9897078251039865E-2</v>
      </c>
      <c r="Q6">
        <v>100</v>
      </c>
      <c r="R6">
        <v>8.2074562717997429E-2</v>
      </c>
      <c r="S6">
        <v>200</v>
      </c>
      <c r="T6">
        <v>7.3723591503063235E-2</v>
      </c>
    </row>
    <row r="7" spans="1:20" x14ac:dyDescent="0.25">
      <c r="A7">
        <v>60</v>
      </c>
      <c r="B7">
        <v>3.6103078141727467E-2</v>
      </c>
      <c r="C7">
        <v>0.14238373443606941</v>
      </c>
      <c r="D7">
        <v>8.6795771758922058E-2</v>
      </c>
      <c r="E7">
        <v>100</v>
      </c>
      <c r="F7">
        <v>5.1817572933259157E-2</v>
      </c>
      <c r="G7">
        <v>0.14395408197950432</v>
      </c>
      <c r="H7">
        <v>9.8346581775197561E-2</v>
      </c>
      <c r="I7">
        <v>200</v>
      </c>
      <c r="J7">
        <v>4.102668091227301E-2</v>
      </c>
      <c r="K7">
        <v>0.18899809177582214</v>
      </c>
      <c r="L7">
        <v>0.1174267016521037</v>
      </c>
      <c r="O7">
        <v>60</v>
      </c>
      <c r="P7">
        <v>2.05158520288947E-2</v>
      </c>
      <c r="Q7">
        <v>100</v>
      </c>
      <c r="R7">
        <v>2.6571307170133451E-2</v>
      </c>
      <c r="S7">
        <v>200</v>
      </c>
      <c r="T7">
        <v>1.4370483333630446E-2</v>
      </c>
    </row>
    <row r="8" spans="1:20" x14ac:dyDescent="0.25">
      <c r="A8">
        <v>60</v>
      </c>
      <c r="B8">
        <v>3.9897078251039865E-2</v>
      </c>
      <c r="C8">
        <v>0.14036166700540065</v>
      </c>
      <c r="D8">
        <v>8.3582956781791992E-2</v>
      </c>
      <c r="E8">
        <v>100</v>
      </c>
      <c r="F8">
        <v>8.2074562717997429E-2</v>
      </c>
      <c r="G8">
        <v>0.17227049682489309</v>
      </c>
      <c r="H8">
        <v>0.12469852930491214</v>
      </c>
      <c r="I8">
        <v>200</v>
      </c>
      <c r="J8">
        <v>7.3723591503063235E-2</v>
      </c>
      <c r="K8">
        <v>0.22966416923879479</v>
      </c>
      <c r="L8">
        <v>0.14868067993353762</v>
      </c>
      <c r="O8">
        <v>60</v>
      </c>
      <c r="P8">
        <v>1.950697371132885E-2</v>
      </c>
      <c r="Q8">
        <v>100</v>
      </c>
      <c r="R8">
        <v>2.835362704874065E-2</v>
      </c>
      <c r="S8">
        <v>200</v>
      </c>
      <c r="T8">
        <v>5.3481314446931091E-2</v>
      </c>
    </row>
    <row r="9" spans="1:20" x14ac:dyDescent="0.25">
      <c r="A9">
        <v>60</v>
      </c>
      <c r="B9">
        <v>2.05158520288947E-2</v>
      </c>
      <c r="C9">
        <v>6.1354970360988643E-2</v>
      </c>
      <c r="D9">
        <v>3.1733713003386302E-2</v>
      </c>
      <c r="E9">
        <v>100</v>
      </c>
      <c r="F9">
        <v>2.6571307170133451E-2</v>
      </c>
      <c r="G9">
        <v>7.7388795116787895E-2</v>
      </c>
      <c r="H9">
        <v>4.8183559587050125E-2</v>
      </c>
      <c r="I9">
        <v>200</v>
      </c>
      <c r="J9">
        <v>1.4370483333630446E-2</v>
      </c>
      <c r="K9">
        <v>0.12244459141377277</v>
      </c>
      <c r="L9">
        <v>6.537570309555292E-2</v>
      </c>
      <c r="O9">
        <v>60</v>
      </c>
      <c r="P9">
        <v>1.8674479147221788E-2</v>
      </c>
      <c r="Q9">
        <v>100</v>
      </c>
      <c r="R9">
        <v>4.5874000281492397E-2</v>
      </c>
      <c r="S9">
        <v>200</v>
      </c>
      <c r="T9">
        <v>2.6470345851926282E-2</v>
      </c>
    </row>
    <row r="10" spans="1:20" x14ac:dyDescent="0.25">
      <c r="A10">
        <v>60</v>
      </c>
      <c r="B10">
        <v>1.950697371132885E-2</v>
      </c>
      <c r="C10">
        <v>0.10418991561437399</v>
      </c>
      <c r="D10">
        <v>5.9364608905670482E-2</v>
      </c>
      <c r="E10">
        <v>100</v>
      </c>
      <c r="F10">
        <v>2.835362704874065E-2</v>
      </c>
      <c r="G10">
        <v>0.10535731969424375</v>
      </c>
      <c r="H10">
        <v>6.415032533972749E-2</v>
      </c>
      <c r="I10">
        <v>200</v>
      </c>
      <c r="J10">
        <v>5.3481314446931091E-2</v>
      </c>
      <c r="K10">
        <v>0.16771325286269814</v>
      </c>
      <c r="L10">
        <v>0.10923870597774851</v>
      </c>
      <c r="O10">
        <v>60</v>
      </c>
      <c r="P10">
        <v>4.5536169257353029E-2</v>
      </c>
      <c r="Q10">
        <v>100</v>
      </c>
      <c r="R10">
        <v>6.5734428964593972E-2</v>
      </c>
      <c r="S10">
        <v>200</v>
      </c>
      <c r="T10">
        <v>8.2942328958776693E-2</v>
      </c>
    </row>
    <row r="11" spans="1:20" x14ac:dyDescent="0.25">
      <c r="A11">
        <v>60</v>
      </c>
      <c r="B11">
        <v>1.8674479147221788E-2</v>
      </c>
      <c r="C11">
        <v>7.576592472573343E-2</v>
      </c>
      <c r="D11">
        <v>3.7840821392831001E-2</v>
      </c>
      <c r="E11">
        <v>100</v>
      </c>
      <c r="F11">
        <v>4.5874000281492397E-2</v>
      </c>
      <c r="G11">
        <v>8.8072035540578922E-2</v>
      </c>
      <c r="H11">
        <v>5.8130302562353221E-2</v>
      </c>
      <c r="I11">
        <v>200</v>
      </c>
      <c r="J11">
        <v>2.6470345851926282E-2</v>
      </c>
      <c r="K11">
        <v>0.10785512912375524</v>
      </c>
      <c r="L11">
        <v>6.8294212840067411E-2</v>
      </c>
      <c r="O11">
        <v>60</v>
      </c>
      <c r="P11">
        <v>5.2780571255725307E-2</v>
      </c>
      <c r="Q11">
        <v>100</v>
      </c>
      <c r="R11">
        <v>6.4643716266189977E-2</v>
      </c>
      <c r="S11">
        <v>200</v>
      </c>
      <c r="T11">
        <v>0.10979179616707001</v>
      </c>
    </row>
    <row r="12" spans="1:20" x14ac:dyDescent="0.25">
      <c r="A12">
        <v>60</v>
      </c>
      <c r="B12">
        <v>4.5536169257353029E-2</v>
      </c>
      <c r="C12">
        <v>0.14684801333511502</v>
      </c>
      <c r="D12">
        <v>9.316977214925283E-2</v>
      </c>
      <c r="E12">
        <v>100</v>
      </c>
      <c r="F12">
        <v>6.5734428964593972E-2</v>
      </c>
      <c r="G12">
        <v>0.15369638923806861</v>
      </c>
      <c r="H12">
        <v>0.1086669223127501</v>
      </c>
      <c r="I12">
        <v>200</v>
      </c>
      <c r="J12">
        <v>8.2942328958776693E-2</v>
      </c>
      <c r="K12">
        <v>0.21646276321265817</v>
      </c>
      <c r="L12">
        <v>0.15094635348173824</v>
      </c>
      <c r="O12">
        <v>60</v>
      </c>
      <c r="P12">
        <v>4.3274647524735602E-2</v>
      </c>
      <c r="Q12">
        <v>100</v>
      </c>
      <c r="R12">
        <v>9.5128654006470872E-2</v>
      </c>
      <c r="S12">
        <v>200</v>
      </c>
      <c r="T12">
        <v>7.6021193457593769E-2</v>
      </c>
    </row>
    <row r="13" spans="1:20" x14ac:dyDescent="0.25">
      <c r="A13">
        <v>60</v>
      </c>
      <c r="B13">
        <v>5.2780571255725307E-2</v>
      </c>
      <c r="C13">
        <v>0.15816611749270565</v>
      </c>
      <c r="D13">
        <v>0.10050656534462069</v>
      </c>
      <c r="E13">
        <v>100</v>
      </c>
      <c r="F13">
        <v>6.4643716266189977E-2</v>
      </c>
      <c r="G13">
        <v>0.14781941230928367</v>
      </c>
      <c r="H13">
        <v>0.10182888198530207</v>
      </c>
      <c r="I13">
        <v>200</v>
      </c>
      <c r="J13">
        <v>0.10979179616707001</v>
      </c>
      <c r="K13">
        <v>0.22028549718491447</v>
      </c>
      <c r="L13">
        <v>0.1603144842870573</v>
      </c>
      <c r="O13">
        <v>60</v>
      </c>
      <c r="P13">
        <v>9.6102615902829785E-2</v>
      </c>
      <c r="Q13">
        <v>100</v>
      </c>
      <c r="R13">
        <v>4.9873964620593937E-2</v>
      </c>
      <c r="S13">
        <v>200</v>
      </c>
      <c r="T13">
        <v>7.0007388999731857E-2</v>
      </c>
    </row>
    <row r="14" spans="1:20" x14ac:dyDescent="0.25">
      <c r="A14">
        <v>60</v>
      </c>
      <c r="B14">
        <v>4.3274647524735602E-2</v>
      </c>
      <c r="C14">
        <v>0.15047777114090005</v>
      </c>
      <c r="D14">
        <v>9.1425775347848764E-2</v>
      </c>
      <c r="E14">
        <v>100</v>
      </c>
      <c r="F14">
        <v>9.5128654006470872E-2</v>
      </c>
      <c r="G14">
        <v>0.17653197109964566</v>
      </c>
      <c r="H14">
        <v>0.13241585957925905</v>
      </c>
      <c r="I14">
        <v>200</v>
      </c>
      <c r="J14">
        <v>7.6021193457593769E-2</v>
      </c>
      <c r="K14">
        <v>0.22000713031998415</v>
      </c>
      <c r="L14">
        <v>0.1439693463085534</v>
      </c>
      <c r="O14">
        <v>60</v>
      </c>
      <c r="P14">
        <v>1.9896418145720615E-2</v>
      </c>
      <c r="Q14">
        <v>100</v>
      </c>
      <c r="R14">
        <v>4.9804829389001382E-2</v>
      </c>
      <c r="S14">
        <v>200</v>
      </c>
      <c r="T14">
        <v>5.87115581743528E-2</v>
      </c>
    </row>
    <row r="15" spans="1:20" x14ac:dyDescent="0.25">
      <c r="A15">
        <v>60</v>
      </c>
      <c r="B15">
        <v>9.6102615902829785E-2</v>
      </c>
      <c r="C15">
        <v>7.1877289243946402E-2</v>
      </c>
      <c r="D15">
        <v>8.2774183547887625E-2</v>
      </c>
      <c r="E15">
        <v>100</v>
      </c>
      <c r="F15">
        <v>4.9873964620593937E-2</v>
      </c>
      <c r="G15">
        <v>9.9640182580947687E-2</v>
      </c>
      <c r="H15">
        <v>7.2106954826402045E-2</v>
      </c>
      <c r="I15">
        <v>200</v>
      </c>
      <c r="J15">
        <v>7.0007388999731857E-2</v>
      </c>
      <c r="K15">
        <v>0.15884854452730748</v>
      </c>
      <c r="L15">
        <v>0.11592265845158209</v>
      </c>
      <c r="O15">
        <v>60</v>
      </c>
      <c r="P15">
        <v>0.16140601198372898</v>
      </c>
      <c r="Q15">
        <v>100</v>
      </c>
      <c r="R15">
        <v>0.1064599999421551</v>
      </c>
      <c r="S15">
        <v>200</v>
      </c>
      <c r="T15">
        <v>5.3531683819330739E-2</v>
      </c>
    </row>
    <row r="16" spans="1:20" x14ac:dyDescent="0.25">
      <c r="A16">
        <v>60</v>
      </c>
      <c r="B16">
        <v>1.9896418145720615E-2</v>
      </c>
      <c r="C16">
        <v>0.10539019946592347</v>
      </c>
      <c r="D16">
        <v>5.9825489338425797E-2</v>
      </c>
      <c r="E16">
        <v>100</v>
      </c>
      <c r="F16">
        <v>4.9804829389001382E-2</v>
      </c>
      <c r="G16">
        <v>0.12607968913067011</v>
      </c>
      <c r="H16">
        <v>8.7981033044414972E-2</v>
      </c>
      <c r="I16">
        <v>200</v>
      </c>
      <c r="J16">
        <v>5.87115581743528E-2</v>
      </c>
      <c r="K16">
        <v>0.17228597230257023</v>
      </c>
      <c r="L16">
        <v>0.11679547157038613</v>
      </c>
      <c r="O16">
        <v>60</v>
      </c>
      <c r="P16">
        <v>5.4317844977084501E-2</v>
      </c>
      <c r="Q16">
        <v>100</v>
      </c>
      <c r="R16">
        <v>4.8370213576903305E-2</v>
      </c>
      <c r="S16">
        <v>200</v>
      </c>
      <c r="T16">
        <v>3.3941120786804627E-2</v>
      </c>
    </row>
    <row r="17" spans="1:20" x14ac:dyDescent="0.25">
      <c r="A17">
        <v>60</v>
      </c>
      <c r="B17">
        <v>0.16140601198372898</v>
      </c>
      <c r="C17">
        <v>0.13956812927977907</v>
      </c>
      <c r="D17">
        <v>0.15026355867803612</v>
      </c>
      <c r="E17">
        <v>100</v>
      </c>
      <c r="F17">
        <v>0.1064599999421551</v>
      </c>
      <c r="G17">
        <v>0.10305580622481481</v>
      </c>
      <c r="H17">
        <v>0.10465045171824196</v>
      </c>
      <c r="I17">
        <v>200</v>
      </c>
      <c r="J17">
        <v>5.3531683819330739E-2</v>
      </c>
      <c r="K17">
        <v>7.3583115903024923E-2</v>
      </c>
      <c r="L17">
        <v>5.1324846729717988E-2</v>
      </c>
      <c r="O17">
        <v>60</v>
      </c>
      <c r="P17">
        <v>3.6705995855128036E-2</v>
      </c>
      <c r="Q17">
        <v>100</v>
      </c>
      <c r="R17">
        <v>5.9799346514285222E-2</v>
      </c>
      <c r="S17">
        <v>200</v>
      </c>
      <c r="T17">
        <v>8.5662029729313791E-2</v>
      </c>
    </row>
    <row r="18" spans="1:20" x14ac:dyDescent="0.25">
      <c r="A18">
        <v>60</v>
      </c>
      <c r="B18">
        <v>5.4317844977084501E-2</v>
      </c>
      <c r="C18">
        <v>3.9327545547641986E-2</v>
      </c>
      <c r="D18">
        <v>4.6368101205024805E-2</v>
      </c>
      <c r="E18">
        <v>100</v>
      </c>
      <c r="F18">
        <v>4.8370213576903305E-2</v>
      </c>
      <c r="G18">
        <v>2.5900775457756299E-2</v>
      </c>
      <c r="H18">
        <v>3.6660882767564448E-2</v>
      </c>
      <c r="I18">
        <v>200</v>
      </c>
      <c r="J18">
        <v>3.3941120786804627E-2</v>
      </c>
      <c r="K18">
        <v>7.5051617210048965E-2</v>
      </c>
      <c r="L18">
        <v>2.8471826525474597E-2</v>
      </c>
      <c r="O18">
        <v>60</v>
      </c>
      <c r="P18">
        <v>3.2705567368926582E-2</v>
      </c>
      <c r="Q18">
        <v>100</v>
      </c>
      <c r="R18">
        <v>5.6386081022752776E-2</v>
      </c>
      <c r="S18">
        <v>200</v>
      </c>
      <c r="T18">
        <v>5.5864222777309604E-2</v>
      </c>
    </row>
    <row r="19" spans="1:20" x14ac:dyDescent="0.25">
      <c r="A19">
        <v>60</v>
      </c>
      <c r="B19">
        <v>3.6705995855128036E-2</v>
      </c>
      <c r="C19">
        <v>0.12728661883344117</v>
      </c>
      <c r="D19">
        <v>7.4530407528010781E-2</v>
      </c>
      <c r="E19">
        <v>100</v>
      </c>
      <c r="F19">
        <v>5.9799346514285222E-2</v>
      </c>
      <c r="G19">
        <v>0.14248233154382489</v>
      </c>
      <c r="H19">
        <v>9.8444397437219777E-2</v>
      </c>
      <c r="I19">
        <v>200</v>
      </c>
      <c r="J19">
        <v>8.5662029729313791E-2</v>
      </c>
      <c r="K19">
        <v>0.21304332865736911</v>
      </c>
      <c r="L19">
        <v>0.14349758929435794</v>
      </c>
    </row>
    <row r="20" spans="1:20" x14ac:dyDescent="0.25">
      <c r="A20">
        <v>60</v>
      </c>
      <c r="B20">
        <v>3.2705567368926582E-2</v>
      </c>
      <c r="C20">
        <v>0.15062000329033484</v>
      </c>
      <c r="D20">
        <v>8.8609334942368181E-2</v>
      </c>
      <c r="E20">
        <v>100</v>
      </c>
      <c r="F20">
        <v>5.6386081022752776E-2</v>
      </c>
      <c r="G20">
        <v>0.14523367251030891</v>
      </c>
      <c r="H20">
        <v>9.7523811111721273E-2</v>
      </c>
      <c r="I20">
        <v>200</v>
      </c>
      <c r="J20">
        <v>5.5864222777309604E-2</v>
      </c>
      <c r="K20">
        <v>0.2152243037374737</v>
      </c>
      <c r="L20">
        <v>0.13775709943923731</v>
      </c>
    </row>
    <row r="21" spans="1:20" x14ac:dyDescent="0.25">
      <c r="B21">
        <f>AVERAGE(B3:B20)</f>
        <v>4.2029071551674117E-2</v>
      </c>
      <c r="C21">
        <f t="shared" ref="C21:L21" si="0">AVERAGE(C3:C20)</f>
        <v>0.1118957331839294</v>
      </c>
      <c r="D21">
        <f t="shared" si="0"/>
        <v>7.2728226669453944E-2</v>
      </c>
      <c r="F21">
        <f t="shared" si="0"/>
        <v>5.6435078870827673E-2</v>
      </c>
      <c r="G21">
        <f t="shared" si="0"/>
        <v>0.12138330891197671</v>
      </c>
      <c r="H21">
        <f t="shared" si="0"/>
        <v>8.6441627825422626E-2</v>
      </c>
      <c r="J21">
        <f t="shared" si="0"/>
        <v>5.8239476997524804E-2</v>
      </c>
      <c r="K21">
        <f t="shared" si="0"/>
        <v>0.17222861402631487</v>
      </c>
      <c r="L21">
        <f t="shared" si="0"/>
        <v>0.11208695227140091</v>
      </c>
    </row>
    <row r="23" spans="1:20" x14ac:dyDescent="0.25">
      <c r="B23">
        <v>4.2029071551674117E-2</v>
      </c>
      <c r="C23">
        <v>0.1118957331839294</v>
      </c>
      <c r="D23">
        <v>7.2728226669453944E-2</v>
      </c>
      <c r="F23">
        <v>5.6435078870827673E-2</v>
      </c>
      <c r="G23">
        <v>0.12138330891197671</v>
      </c>
      <c r="H23">
        <v>8.6441627825422626E-2</v>
      </c>
      <c r="J23">
        <v>5.8239476997524804E-2</v>
      </c>
      <c r="K23">
        <v>0.17222861402631487</v>
      </c>
      <c r="L23">
        <v>0.11208695227140091</v>
      </c>
    </row>
    <row r="26" spans="1:20" x14ac:dyDescent="0.25">
      <c r="O26" s="2">
        <v>60</v>
      </c>
      <c r="P26" s="2">
        <v>4.2029071551674117E-2</v>
      </c>
      <c r="Q26" s="2">
        <v>0.1118957331839294</v>
      </c>
      <c r="R26" s="2">
        <v>7.2728226669453944E-2</v>
      </c>
    </row>
    <row r="27" spans="1:20" x14ac:dyDescent="0.25">
      <c r="O27" s="2">
        <v>100</v>
      </c>
      <c r="P27" s="2">
        <v>5.6435078870827673E-2</v>
      </c>
      <c r="Q27" s="2">
        <v>0.12138330891197671</v>
      </c>
      <c r="R27" s="2">
        <v>8.6441627825422626E-2</v>
      </c>
    </row>
    <row r="28" spans="1:20" x14ac:dyDescent="0.25">
      <c r="O28" s="2">
        <v>200</v>
      </c>
      <c r="P28" s="2">
        <v>5.8239476997524804E-2</v>
      </c>
      <c r="Q28" s="2">
        <v>0.17222861402631487</v>
      </c>
      <c r="R28" s="2">
        <v>0.11208695227140091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100 loading</vt:lpstr>
      <vt:lpstr>100 unloading</vt:lpstr>
      <vt:lpstr>100both</vt:lpstr>
      <vt:lpstr>60 loading</vt:lpstr>
      <vt:lpstr>60 unloading</vt:lpstr>
      <vt:lpstr>60 both</vt:lpstr>
      <vt:lpstr>200 loading</vt:lpstr>
      <vt:lpstr>200 unloading</vt:lpstr>
      <vt:lpstr>200 both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Chang [Student]</dc:creator>
  <cp:lastModifiedBy>GUO, Chang [Student]</cp:lastModifiedBy>
  <dcterms:created xsi:type="dcterms:W3CDTF">2024-01-19T05:25:14Z</dcterms:created>
  <dcterms:modified xsi:type="dcterms:W3CDTF">2024-01-23T15:54:30Z</dcterms:modified>
</cp:coreProperties>
</file>